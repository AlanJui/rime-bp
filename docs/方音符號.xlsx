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\rime-bp\docs\"/>
    </mc:Choice>
  </mc:AlternateContent>
  <xr:revisionPtr revIDLastSave="0" documentId="13_ncr:1_{1578564D-6816-4987-B792-B4FB2A2E4B4C}" xr6:coauthVersionLast="47" xr6:coauthVersionMax="47" xr10:uidLastSave="{00000000-0000-0000-0000-000000000000}"/>
  <bookViews>
    <workbookView xWindow="28680" yWindow="-195" windowWidth="38640" windowHeight="15720" activeTab="6" xr2:uid="{51E96E33-E4E5-4E06-8776-4FB904719B4B}"/>
  </bookViews>
  <sheets>
    <sheet name="音節表" sheetId="1" r:id="rId1"/>
    <sheet name="聲母" sheetId="8" r:id="rId2"/>
    <sheet name="韻母" sheetId="6" r:id="rId3"/>
    <sheet name="地方腔" sheetId="5" r:id="rId4"/>
    <sheet name="入聲韻尾" sheetId="2" r:id="rId5"/>
    <sheet name="聲調" sheetId="3" r:id="rId6"/>
    <sheet name="聲調按鍵" sheetId="9" r:id="rId7"/>
    <sheet name="聲調符號（Unicode）" sheetId="4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9" i="9" l="1"/>
  <c r="M9" i="9" s="1"/>
  <c r="L8" i="9"/>
  <c r="M8" i="9" s="1"/>
  <c r="L7" i="9"/>
  <c r="M7" i="9" s="1"/>
  <c r="L6" i="9"/>
  <c r="M6" i="9" s="1"/>
  <c r="L5" i="9"/>
  <c r="M5" i="9" s="1"/>
  <c r="L4" i="9"/>
  <c r="M4" i="9" s="1"/>
  <c r="K5" i="8"/>
  <c r="K6" i="8"/>
  <c r="K7" i="8"/>
  <c r="K8" i="8"/>
  <c r="K9" i="8"/>
  <c r="K10" i="8"/>
  <c r="K11" i="8"/>
  <c r="J6" i="8"/>
  <c r="J7" i="8"/>
  <c r="J8" i="8"/>
  <c r="J9" i="8"/>
  <c r="J10" i="8"/>
  <c r="J11" i="8"/>
  <c r="J4" i="8"/>
  <c r="J5" i="8"/>
  <c r="K4" i="8"/>
  <c r="I5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6" i="6"/>
  <c r="I7" i="6"/>
  <c r="J7" i="6"/>
  <c r="J6" i="6"/>
  <c r="J5" i="6"/>
  <c r="F5" i="5"/>
  <c r="F6" i="5"/>
  <c r="F7" i="5"/>
  <c r="F8" i="5"/>
  <c r="F9" i="5"/>
  <c r="F4" i="5"/>
  <c r="G9" i="5"/>
  <c r="G8" i="5"/>
  <c r="G7" i="5"/>
  <c r="G6" i="5"/>
  <c r="G5" i="5"/>
  <c r="G4" i="5"/>
  <c r="H6" i="4"/>
  <c r="H7" i="4"/>
  <c r="H8" i="4"/>
  <c r="H9" i="4"/>
  <c r="H10" i="4"/>
  <c r="H11" i="4"/>
  <c r="G4" i="4"/>
  <c r="G5" i="4"/>
  <c r="G6" i="4"/>
  <c r="G7" i="4"/>
  <c r="G8" i="4"/>
  <c r="G9" i="4"/>
  <c r="G10" i="4"/>
  <c r="G11" i="4"/>
  <c r="G3" i="4"/>
  <c r="H3" i="4" s="1"/>
  <c r="H5" i="4"/>
  <c r="H4" i="4"/>
  <c r="L5" i="3"/>
  <c r="L6" i="3"/>
  <c r="L7" i="3"/>
  <c r="L8" i="3"/>
  <c r="K5" i="3"/>
  <c r="K6" i="3"/>
  <c r="K7" i="3"/>
  <c r="K8" i="3"/>
  <c r="K4" i="3"/>
  <c r="L4" i="3" s="1"/>
  <c r="J5" i="2"/>
  <c r="J6" i="2"/>
  <c r="J7" i="2"/>
  <c r="J4" i="2"/>
  <c r="H6" i="2"/>
  <c r="H7" i="2"/>
  <c r="H4" i="2"/>
  <c r="H5" i="2"/>
  <c r="V7" i="1"/>
  <c r="V8" i="1"/>
  <c r="V9" i="1"/>
  <c r="V10" i="1"/>
  <c r="V11" i="1"/>
  <c r="V12" i="1"/>
  <c r="V13" i="1"/>
  <c r="V14" i="1"/>
  <c r="V15" i="1"/>
  <c r="V16" i="1"/>
  <c r="V17" i="1"/>
  <c r="V18" i="1"/>
  <c r="AF18" i="1" s="1"/>
  <c r="V19" i="1"/>
  <c r="V20" i="1"/>
  <c r="V21" i="1"/>
  <c r="V22" i="1"/>
  <c r="V23" i="1"/>
  <c r="V24" i="1"/>
  <c r="V25" i="1"/>
  <c r="V26" i="1"/>
  <c r="V27" i="1"/>
  <c r="V28" i="1"/>
  <c r="V29" i="1"/>
  <c r="V30" i="1"/>
  <c r="AF30" i="1" s="1"/>
  <c r="V31" i="1"/>
  <c r="V32" i="1"/>
  <c r="V33" i="1"/>
  <c r="V34" i="1"/>
  <c r="V35" i="1"/>
  <c r="V36" i="1"/>
  <c r="V37" i="1"/>
  <c r="V38" i="1"/>
  <c r="V39" i="1"/>
  <c r="V40" i="1"/>
  <c r="AF40" i="1" s="1"/>
  <c r="V41" i="1"/>
  <c r="V42" i="1"/>
  <c r="AF42" i="1" s="1"/>
  <c r="V43" i="1"/>
  <c r="V44" i="1"/>
  <c r="V45" i="1"/>
  <c r="V46" i="1"/>
  <c r="V47" i="1"/>
  <c r="V48" i="1"/>
  <c r="V49" i="1"/>
  <c r="V50" i="1"/>
  <c r="V51" i="1"/>
  <c r="V52" i="1"/>
  <c r="V53" i="1"/>
  <c r="V54" i="1"/>
  <c r="AF54" i="1" s="1"/>
  <c r="V55" i="1"/>
  <c r="V56" i="1"/>
  <c r="V57" i="1"/>
  <c r="V58" i="1"/>
  <c r="V59" i="1"/>
  <c r="V60" i="1"/>
  <c r="V61" i="1"/>
  <c r="V62" i="1"/>
  <c r="V63" i="1"/>
  <c r="V64" i="1"/>
  <c r="AF64" i="1" s="1"/>
  <c r="V65" i="1"/>
  <c r="AF65" i="1" s="1"/>
  <c r="V66" i="1"/>
  <c r="AF66" i="1" s="1"/>
  <c r="V67" i="1"/>
  <c r="V68" i="1"/>
  <c r="V69" i="1"/>
  <c r="V70" i="1"/>
  <c r="V71" i="1"/>
  <c r="V72" i="1"/>
  <c r="V73" i="1"/>
  <c r="V74" i="1"/>
  <c r="V75" i="1"/>
  <c r="AF75" i="1" s="1"/>
  <c r="V76" i="1"/>
  <c r="AF76" i="1" s="1"/>
  <c r="V77" i="1"/>
  <c r="AF77" i="1" s="1"/>
  <c r="V78" i="1"/>
  <c r="AF78" i="1" s="1"/>
  <c r="V79" i="1"/>
  <c r="V80" i="1"/>
  <c r="V81" i="1"/>
  <c r="V82" i="1"/>
  <c r="V83" i="1"/>
  <c r="V84" i="1"/>
  <c r="V85" i="1"/>
  <c r="V86" i="1"/>
  <c r="V87" i="1"/>
  <c r="V88" i="1"/>
  <c r="V89" i="1"/>
  <c r="V90" i="1"/>
  <c r="AF90" i="1" s="1"/>
  <c r="V91" i="1"/>
  <c r="V92" i="1"/>
  <c r="V93" i="1"/>
  <c r="V94" i="1"/>
  <c r="V5" i="1"/>
  <c r="AF5" i="1" s="1"/>
  <c r="V4" i="1"/>
  <c r="V6" i="1"/>
  <c r="AF6" i="1" s="1"/>
  <c r="AF13" i="1"/>
  <c r="AF15" i="1"/>
  <c r="AF16" i="1"/>
  <c r="AF17" i="1"/>
  <c r="AF25" i="1"/>
  <c r="AF27" i="1"/>
  <c r="AF28" i="1"/>
  <c r="AF29" i="1"/>
  <c r="AF37" i="1"/>
  <c r="AF39" i="1"/>
  <c r="AF41" i="1"/>
  <c r="AF49" i="1"/>
  <c r="AF51" i="1"/>
  <c r="AF52" i="1"/>
  <c r="AF53" i="1"/>
  <c r="AF61" i="1"/>
  <c r="AF63" i="1"/>
  <c r="AF73" i="1"/>
  <c r="AF85" i="1"/>
  <c r="AF87" i="1"/>
  <c r="AF88" i="1"/>
  <c r="AF89" i="1"/>
  <c r="AF7" i="1"/>
  <c r="AF8" i="1"/>
  <c r="AF9" i="1"/>
  <c r="AF10" i="1"/>
  <c r="AF11" i="1"/>
  <c r="AF12" i="1"/>
  <c r="AF14" i="1"/>
  <c r="AF19" i="1"/>
  <c r="AF20" i="1"/>
  <c r="AF21" i="1"/>
  <c r="AF22" i="1"/>
  <c r="AF23" i="1"/>
  <c r="AF24" i="1"/>
  <c r="AF26" i="1"/>
  <c r="AF31" i="1"/>
  <c r="AF32" i="1"/>
  <c r="AF33" i="1"/>
  <c r="AF34" i="1"/>
  <c r="AF35" i="1"/>
  <c r="AF36" i="1"/>
  <c r="AF38" i="1"/>
  <c r="AF43" i="1"/>
  <c r="AF44" i="1"/>
  <c r="AF45" i="1"/>
  <c r="AF46" i="1"/>
  <c r="AF47" i="1"/>
  <c r="AF48" i="1"/>
  <c r="AF50" i="1"/>
  <c r="AF55" i="1"/>
  <c r="AF56" i="1"/>
  <c r="AF57" i="1"/>
  <c r="AF58" i="1"/>
  <c r="AF59" i="1"/>
  <c r="AF60" i="1"/>
  <c r="AF62" i="1"/>
  <c r="AF67" i="1"/>
  <c r="AF68" i="1"/>
  <c r="AF69" i="1"/>
  <c r="AF70" i="1"/>
  <c r="AF71" i="1"/>
  <c r="AF72" i="1"/>
  <c r="AF74" i="1"/>
  <c r="AF79" i="1"/>
  <c r="AF80" i="1"/>
  <c r="AF81" i="1"/>
  <c r="AF82" i="1"/>
  <c r="AF83" i="1"/>
  <c r="AF84" i="1"/>
  <c r="AF86" i="1"/>
  <c r="AF91" i="1"/>
  <c r="AF92" i="1"/>
  <c r="AF93" i="1"/>
  <c r="AF94" i="1"/>
  <c r="AF4" i="1"/>
</calcChain>
</file>

<file path=xl/sharedStrings.xml><?xml version="1.0" encoding="utf-8"?>
<sst xmlns="http://schemas.openxmlformats.org/spreadsheetml/2006/main" count="1389" uniqueCount="1109">
  <si>
    <t>音節表</t>
  </si>
  <si>
    <t>Ø</t>
  </si>
  <si>
    <t>h</t>
  </si>
  <si>
    <t>p</t>
  </si>
  <si>
    <t>pʰ</t>
  </si>
  <si>
    <t>b</t>
  </si>
  <si>
    <t>m</t>
  </si>
  <si>
    <t>t</t>
  </si>
  <si>
    <t>tʰ</t>
  </si>
  <si>
    <t>n</t>
  </si>
  <si>
    <t>l</t>
  </si>
  <si>
    <t>ʦ/ʨ</t>
  </si>
  <si>
    <t>ʦʰ/ʨʰ</t>
  </si>
  <si>
    <t>ʣ/ʥ</t>
  </si>
  <si>
    <t>s/ɕ</t>
  </si>
  <si>
    <t>k</t>
  </si>
  <si>
    <t>kʰ</t>
  </si>
  <si>
    <t>g</t>
  </si>
  <si>
    <t>ŋ</t>
  </si>
  <si>
    <t>a</t>
  </si>
  <si>
    <t>ㄚ</t>
  </si>
  <si>
    <t>ㄏㄚ</t>
  </si>
  <si>
    <t>ㄅㄚ</t>
  </si>
  <si>
    <t>ㄆㄚ</t>
  </si>
  <si>
    <t>ㆠㄚ</t>
  </si>
  <si>
    <t>ㄇㄚ</t>
  </si>
  <si>
    <t>ㄉㄚ</t>
  </si>
  <si>
    <t>ㄊㄚ</t>
  </si>
  <si>
    <t>ㄋㄚ</t>
  </si>
  <si>
    <t>ㄌㄚ</t>
  </si>
  <si>
    <t>ㄗㄚ</t>
  </si>
  <si>
    <t>ㄘㄚ</t>
  </si>
  <si>
    <t>ㄙㄚ</t>
  </si>
  <si>
    <t>ㄍㄚ</t>
  </si>
  <si>
    <t>ㄎㄚ</t>
  </si>
  <si>
    <t>ㆣㄚ</t>
  </si>
  <si>
    <t>ㄫㄚ</t>
  </si>
  <si>
    <t>ã</t>
  </si>
  <si>
    <t>ㆩ</t>
  </si>
  <si>
    <t>ㄏㆩ</t>
  </si>
  <si>
    <t>ㄆㆩ</t>
  </si>
  <si>
    <t>ㄉㆩ</t>
  </si>
  <si>
    <t>ㄊㆩ</t>
  </si>
  <si>
    <t>ㄗㆩ</t>
  </si>
  <si>
    <t>ㄘㆩ</t>
  </si>
  <si>
    <t>ㄙㆩ</t>
  </si>
  <si>
    <t>ㄍㆩ</t>
  </si>
  <si>
    <t>ㄎㆩ</t>
  </si>
  <si>
    <t>aʔ</t>
  </si>
  <si>
    <t>ㄚㆷ</t>
  </si>
  <si>
    <t>ㄏㄚㆷ</t>
  </si>
  <si>
    <t>ㄅㄚㆷ</t>
  </si>
  <si>
    <t>ㄆㄚㆷ</t>
  </si>
  <si>
    <t>ㆠㄚㆷ</t>
  </si>
  <si>
    <t>ㄇㄚㆷ</t>
  </si>
  <si>
    <t>ㄉㄚㆷ</t>
  </si>
  <si>
    <t>ㄊㄚㆷ</t>
  </si>
  <si>
    <t>ㄋㄚㆷ</t>
  </si>
  <si>
    <t>ㄌㄚㆷ</t>
  </si>
  <si>
    <t>ㄗㄚㆷ</t>
  </si>
  <si>
    <t>ㄘㄚㆷ</t>
  </si>
  <si>
    <t>ㄙㄚㆷ</t>
  </si>
  <si>
    <t>ㄍㄚㆷ</t>
  </si>
  <si>
    <t>ㄎㄚㆷ</t>
  </si>
  <si>
    <t>ãʔ</t>
  </si>
  <si>
    <t>ㆩㆷ</t>
  </si>
  <si>
    <t>ㄏㆩㆷ</t>
  </si>
  <si>
    <t>ㄙㆩㆷ</t>
  </si>
  <si>
    <t>am</t>
  </si>
  <si>
    <t>ㆰ</t>
  </si>
  <si>
    <t>ㄏㆰ</t>
  </si>
  <si>
    <t>ㄉㆰ</t>
  </si>
  <si>
    <t>ㄊㆰ</t>
  </si>
  <si>
    <t>ㄌㆰ</t>
  </si>
  <si>
    <t>ㄗㆰ</t>
  </si>
  <si>
    <t>ㄘㆰ</t>
  </si>
  <si>
    <t>ㄙㆰ</t>
  </si>
  <si>
    <t>ㄍㆰ</t>
  </si>
  <si>
    <t>ㄎㆰ</t>
  </si>
  <si>
    <t>ㆣㆰ</t>
  </si>
  <si>
    <t>an</t>
  </si>
  <si>
    <t>ㄢ</t>
  </si>
  <si>
    <t>ㄏㄢ</t>
  </si>
  <si>
    <t>ㄅㄢ</t>
  </si>
  <si>
    <t>ㄆㄢ</t>
  </si>
  <si>
    <t>ㆠㄢ</t>
  </si>
  <si>
    <t>ㄉㄢ</t>
  </si>
  <si>
    <t>ㄊㄢ</t>
  </si>
  <si>
    <t>ㄌㄢ</t>
  </si>
  <si>
    <t>ㄗㄢ</t>
  </si>
  <si>
    <t>ㄘㄢ</t>
  </si>
  <si>
    <t>ㄙㄢ</t>
  </si>
  <si>
    <t>ㄍㄢ</t>
  </si>
  <si>
    <t>ㄎㄢ</t>
  </si>
  <si>
    <t>ㆣㄢ</t>
  </si>
  <si>
    <t>aŋ</t>
  </si>
  <si>
    <t>ㄤ</t>
  </si>
  <si>
    <t>ㄏㄤ</t>
  </si>
  <si>
    <t>ㄅㄤ</t>
  </si>
  <si>
    <t>ㄆㄤ</t>
  </si>
  <si>
    <t>ㆠㄤ</t>
  </si>
  <si>
    <t>ㄉㄤ</t>
  </si>
  <si>
    <t>ㄊㄤ</t>
  </si>
  <si>
    <t>ㄌㄤ</t>
  </si>
  <si>
    <t>ㄗㄤ</t>
  </si>
  <si>
    <t>ㄘㄤ</t>
  </si>
  <si>
    <t>ㄙㄤ</t>
  </si>
  <si>
    <t>ㄍㄤ</t>
  </si>
  <si>
    <t>ㄎㄤ</t>
  </si>
  <si>
    <t>ㆣㄤ</t>
  </si>
  <si>
    <t>ap̚</t>
  </si>
  <si>
    <t>ㄚㆴ</t>
  </si>
  <si>
    <t>ㄏㄚㆴ</t>
  </si>
  <si>
    <t>ㄉㄚㆴ</t>
  </si>
  <si>
    <t>ㄊㄚㆴ</t>
  </si>
  <si>
    <t>ㄌㄚㆴ</t>
  </si>
  <si>
    <t>ㄗㄚㆴ</t>
  </si>
  <si>
    <t>ㄘㄚㆴ</t>
  </si>
  <si>
    <t>ㄙㄚㆴ</t>
  </si>
  <si>
    <t>ㄍㄚㆴ</t>
  </si>
  <si>
    <t>ㄎㄚㆴ</t>
  </si>
  <si>
    <t>at̚</t>
  </si>
  <si>
    <t>ㄚㆵ</t>
  </si>
  <si>
    <t>ㄏㄚㆵ</t>
  </si>
  <si>
    <t>ㄅㄚㆵ</t>
  </si>
  <si>
    <t>ㄆㄚㆵ</t>
  </si>
  <si>
    <t>ㆠㄚㆵ</t>
  </si>
  <si>
    <t>ㄉㄚㆵ</t>
  </si>
  <si>
    <t>ㄊㄚㆵ</t>
  </si>
  <si>
    <t>ㄌㄚㆵ</t>
  </si>
  <si>
    <t>ㄗㄚㆵ</t>
  </si>
  <si>
    <t>ㄘㄚㆵ</t>
  </si>
  <si>
    <t>ㄙㄚㆵ</t>
  </si>
  <si>
    <t>ㄍㄚㆵ</t>
  </si>
  <si>
    <t>ㄎㄚㆵ</t>
  </si>
  <si>
    <t>ak̚</t>
  </si>
  <si>
    <t>ㄚㆻ</t>
  </si>
  <si>
    <t>ㄏㄚㆻ</t>
  </si>
  <si>
    <t>ㄅㄚㆻ</t>
  </si>
  <si>
    <t>ㄆㄚㆻ</t>
  </si>
  <si>
    <t>ㆠㄚㆻ</t>
  </si>
  <si>
    <t>ㄉㄚㆻ</t>
  </si>
  <si>
    <t>ㄊㄚㆻ</t>
  </si>
  <si>
    <t>ㄌㄚㆻ</t>
  </si>
  <si>
    <t>ㄗㄚㆻ</t>
  </si>
  <si>
    <t>ㄘㄚㆻ</t>
  </si>
  <si>
    <t>ㄙㄚㆻ</t>
  </si>
  <si>
    <t>ㄍㄚㆻ</t>
  </si>
  <si>
    <t>ㄎㄚㆻ</t>
  </si>
  <si>
    <t>ㆣㄚㆻ</t>
  </si>
  <si>
    <t>aɪ</t>
  </si>
  <si>
    <t>ㄞ</t>
  </si>
  <si>
    <t>ㄏㄞ</t>
  </si>
  <si>
    <t>ㄅㄞ</t>
  </si>
  <si>
    <t>ㄆㄞ</t>
  </si>
  <si>
    <t>ㆠㄞ</t>
  </si>
  <si>
    <t>ㄇㄞ</t>
  </si>
  <si>
    <t>ㄉㄞ</t>
  </si>
  <si>
    <t>ㄊㄞ</t>
  </si>
  <si>
    <t>ㄋㄞ</t>
  </si>
  <si>
    <t>ㄌㄞ</t>
  </si>
  <si>
    <t>ㄗㄞ</t>
  </si>
  <si>
    <t>ㄘㄞ</t>
  </si>
  <si>
    <t>ㄙㄞ</t>
  </si>
  <si>
    <t>ㄍㄞ</t>
  </si>
  <si>
    <t>ㄎㄞ</t>
  </si>
  <si>
    <t>ㆣㄞ</t>
  </si>
  <si>
    <t>ㄫㄞ</t>
  </si>
  <si>
    <t>ãɪ</t>
  </si>
  <si>
    <t>ㆮ</t>
  </si>
  <si>
    <t>ㄏㆮ</t>
  </si>
  <si>
    <t>ㄆㆮ</t>
  </si>
  <si>
    <t>ㄉㆮ</t>
  </si>
  <si>
    <t>ㄗㆮ</t>
  </si>
  <si>
    <t>ㄍㆮ</t>
  </si>
  <si>
    <t>ㄎㆮ</t>
  </si>
  <si>
    <t>aɪʔ</t>
  </si>
  <si>
    <t>ㄞㆷ</t>
  </si>
  <si>
    <t>ㄏㄞㆷ</t>
  </si>
  <si>
    <t>ㄌㄞㆷ</t>
  </si>
  <si>
    <t>ㄙㄞㆷ</t>
  </si>
  <si>
    <t>au</t>
  </si>
  <si>
    <t>ㄠ</t>
  </si>
  <si>
    <t>ㄏㄠ</t>
  </si>
  <si>
    <t>ㄅㄠ</t>
  </si>
  <si>
    <t>ㄆㄠ</t>
  </si>
  <si>
    <t>ㆠㄠ</t>
  </si>
  <si>
    <t>ㄇㄠ</t>
  </si>
  <si>
    <t>ㄉㄠ</t>
  </si>
  <si>
    <t>ㄊㄠ</t>
  </si>
  <si>
    <t>ㄋㄠ</t>
  </si>
  <si>
    <t>ㄌㄠ</t>
  </si>
  <si>
    <t>ㄗㄠ</t>
  </si>
  <si>
    <t>ㄘㄠ</t>
  </si>
  <si>
    <t>ㄙㄠ</t>
  </si>
  <si>
    <t>ㄍㄠ</t>
  </si>
  <si>
    <t>ㄎㄠ</t>
  </si>
  <si>
    <t>ㆣㄠ</t>
  </si>
  <si>
    <t>ㄫㄠ</t>
  </si>
  <si>
    <t>auʔ</t>
  </si>
  <si>
    <t>ㄠㆷ</t>
  </si>
  <si>
    <t>ㄆㄠㆷ</t>
  </si>
  <si>
    <t>ㄇㄠㆷ</t>
  </si>
  <si>
    <t>ㄉㄠㆷ</t>
  </si>
  <si>
    <t>ㄋㄠㆷ</t>
  </si>
  <si>
    <t>ㄌㄠㆷ</t>
  </si>
  <si>
    <t>ㄘㄠㆷ</t>
  </si>
  <si>
    <t>ㄍㄠㆷ</t>
  </si>
  <si>
    <t>ㄫㄠㆷ</t>
  </si>
  <si>
    <t>e</t>
  </si>
  <si>
    <t>ㆤ</t>
  </si>
  <si>
    <t>ㄏㆤ</t>
  </si>
  <si>
    <t>ㄅㆤ</t>
  </si>
  <si>
    <t>ㄆㆤ</t>
  </si>
  <si>
    <t>ㆠㆤ</t>
  </si>
  <si>
    <t>ㄇㆤ</t>
  </si>
  <si>
    <t>ㄉㆤ</t>
  </si>
  <si>
    <t>ㄊㆤ</t>
  </si>
  <si>
    <t>ㄋㆤ</t>
  </si>
  <si>
    <t>ㄌㆤ</t>
  </si>
  <si>
    <t>ㄗㆤ</t>
  </si>
  <si>
    <t>ㄘㆤ</t>
  </si>
  <si>
    <t>ㄙㆤ</t>
  </si>
  <si>
    <t>ㄍㆤ</t>
  </si>
  <si>
    <t>ㄎㆤ</t>
  </si>
  <si>
    <t>ㆣㆤ</t>
  </si>
  <si>
    <t>ㄫㆤ</t>
  </si>
  <si>
    <t>ẽ</t>
  </si>
  <si>
    <t>ㆥ</t>
  </si>
  <si>
    <t>ㄏㆥ</t>
  </si>
  <si>
    <t>ㄅㆥ</t>
  </si>
  <si>
    <t>ㄆㆥ</t>
  </si>
  <si>
    <t>ㄉㆥ</t>
  </si>
  <si>
    <t>ㄊㆥ</t>
  </si>
  <si>
    <t>ㄗㆥ</t>
  </si>
  <si>
    <t>ㄘㆥ</t>
  </si>
  <si>
    <t>ㄙㆥ</t>
  </si>
  <si>
    <t>ㄍㆥ</t>
  </si>
  <si>
    <t>ㄎㆥ</t>
  </si>
  <si>
    <t>eʔ</t>
  </si>
  <si>
    <t>ㆤㆷ</t>
  </si>
  <si>
    <t>ㄏㆤㆷ</t>
  </si>
  <si>
    <t>ㄅㆤㆷ</t>
  </si>
  <si>
    <t>ㄆㆤㆷ</t>
  </si>
  <si>
    <t>ㆠㆤㆷ</t>
  </si>
  <si>
    <t>ㄇㆤㆷ</t>
  </si>
  <si>
    <t>ㄉㆤㆷ</t>
  </si>
  <si>
    <t>ㄊㆤㆷ</t>
  </si>
  <si>
    <t>ㄋㆤㆷ</t>
  </si>
  <si>
    <t>ㄌㆤㆷ</t>
  </si>
  <si>
    <t>ㄗㆤㆷ</t>
  </si>
  <si>
    <t>ㄘㆤㆷ</t>
  </si>
  <si>
    <t>ㄙㆤㆷ</t>
  </si>
  <si>
    <t>ㄍㆤㆷ</t>
  </si>
  <si>
    <t>ㄎㆤㆷ</t>
  </si>
  <si>
    <t>ㆣㆤㆷ</t>
  </si>
  <si>
    <t>ㄫㆤㆷ</t>
  </si>
  <si>
    <t>ẽʔ</t>
  </si>
  <si>
    <t>ㆥㆷ</t>
  </si>
  <si>
    <t>ㄏㆥㆷ</t>
  </si>
  <si>
    <t>ㄎㆥㆷ</t>
  </si>
  <si>
    <t>i</t>
  </si>
  <si>
    <t>ㄧ</t>
  </si>
  <si>
    <t>ㄏㄧ</t>
  </si>
  <si>
    <t>ㄅㄧ</t>
  </si>
  <si>
    <t>ㄆㄧ</t>
  </si>
  <si>
    <t>ㆠㄧ</t>
  </si>
  <si>
    <t>ㄇㄧ</t>
  </si>
  <si>
    <t>ㄉㄧ</t>
  </si>
  <si>
    <t>ㄊㄧ</t>
  </si>
  <si>
    <t>ㄋㄧ</t>
  </si>
  <si>
    <t>ㄌㄧ</t>
  </si>
  <si>
    <t>ㄐㄧ</t>
  </si>
  <si>
    <t>ㄑㄧ</t>
  </si>
  <si>
    <t>ㆢㄧ</t>
  </si>
  <si>
    <t>ㄒㄧ</t>
  </si>
  <si>
    <t>ㄍㄧ</t>
  </si>
  <si>
    <t>ㄎㄧ</t>
  </si>
  <si>
    <t>ㆣㄧ</t>
  </si>
  <si>
    <t>ㄫㄧ</t>
  </si>
  <si>
    <t>ĩ</t>
  </si>
  <si>
    <t>ㆪ</t>
  </si>
  <si>
    <t>ㄏㆪ</t>
  </si>
  <si>
    <t>ㄅㆪ</t>
  </si>
  <si>
    <t>ㄆㆪ</t>
  </si>
  <si>
    <t>ㄉㆪ</t>
  </si>
  <si>
    <t>ㄊㆪ</t>
  </si>
  <si>
    <t>ㄐㆪ</t>
  </si>
  <si>
    <t>ㄑㆪ</t>
  </si>
  <si>
    <t>ㄒㆪ</t>
  </si>
  <si>
    <t>ㄍㆪ</t>
  </si>
  <si>
    <t>ㄎㆪ</t>
  </si>
  <si>
    <t>iʔ</t>
  </si>
  <si>
    <t>ㄧㆷ</t>
  </si>
  <si>
    <t>ㄅㄧㆷ</t>
  </si>
  <si>
    <t>ㄆㄧㆷ</t>
  </si>
  <si>
    <t>ㆠㄧㆷ</t>
  </si>
  <si>
    <t>ㄇㄧㆷ</t>
  </si>
  <si>
    <t>ㄉㄧㆷ</t>
  </si>
  <si>
    <t>ㄊㄧㆷ</t>
  </si>
  <si>
    <t>ㄋㄧㆷ</t>
  </si>
  <si>
    <t>ㄌㄧㆷ</t>
  </si>
  <si>
    <t>ㄐㄧㆷ</t>
  </si>
  <si>
    <t>ㄑㄧㆷ</t>
  </si>
  <si>
    <t>ㄒㄧㆷ</t>
  </si>
  <si>
    <t>ㄍㄧㆷ</t>
  </si>
  <si>
    <t>ㄎㄧㆷ</t>
  </si>
  <si>
    <t>im</t>
  </si>
  <si>
    <t>ㄧㆬ</t>
  </si>
  <si>
    <t>ㄏㄧㆬ</t>
  </si>
  <si>
    <t>ㄉㄧㆬ</t>
  </si>
  <si>
    <t>ㄊㄧㆬ</t>
  </si>
  <si>
    <t>ㄌㄧㆬ</t>
  </si>
  <si>
    <t>ㄐㄧㆬ</t>
  </si>
  <si>
    <t>ㄑㄧㆬ</t>
  </si>
  <si>
    <t>ㆢㄧㆬ</t>
  </si>
  <si>
    <t>ㄒㄧㆬ</t>
  </si>
  <si>
    <t>ㄍㄧㆬ</t>
  </si>
  <si>
    <t>ㄎㄧㆬ</t>
  </si>
  <si>
    <t>ㆣㄧㆬ</t>
  </si>
  <si>
    <t>in</t>
  </si>
  <si>
    <t>ㄧㄣ</t>
  </si>
  <si>
    <t>ㄏㄧㄣ</t>
  </si>
  <si>
    <t>ㄅㄧㄣ</t>
  </si>
  <si>
    <t>ㄆㄧㄣ</t>
  </si>
  <si>
    <t>ㆠㄧㄣ</t>
  </si>
  <si>
    <t>ㄉㄧㄣ</t>
  </si>
  <si>
    <t>ㄊㄧㄣ</t>
  </si>
  <si>
    <t>ㄌㄧㄣ</t>
  </si>
  <si>
    <t>ㄐㄧㄣ</t>
  </si>
  <si>
    <t>ㄑㄧㄣ</t>
  </si>
  <si>
    <t>ㆢㄧㄣ</t>
  </si>
  <si>
    <t>ㄒㄧㄣ</t>
  </si>
  <si>
    <t>ㄍㄧㄣ</t>
  </si>
  <si>
    <t>ㄎㄧㄣ</t>
  </si>
  <si>
    <t>ㆣㄧㄣ</t>
  </si>
  <si>
    <t>iŋ</t>
  </si>
  <si>
    <t>ㄧㄥ</t>
  </si>
  <si>
    <t>ㄏㄧㄥ</t>
  </si>
  <si>
    <t>ㄅㄧㄥ</t>
  </si>
  <si>
    <t>ㄆㄧㄥ</t>
  </si>
  <si>
    <t>ㆠㄧㄥ</t>
  </si>
  <si>
    <t>ㄉㄧㄥ</t>
  </si>
  <si>
    <t>ㄊㄧㄥ</t>
  </si>
  <si>
    <t>ㄌㄧㄥ</t>
  </si>
  <si>
    <t>ㄐㄧㄥ</t>
  </si>
  <si>
    <t>ㄑㄧㄥ</t>
  </si>
  <si>
    <t>ㄒㄧㄥ</t>
  </si>
  <si>
    <t>ㄍㄧㄥ</t>
  </si>
  <si>
    <t>ㄎㄧㄥ</t>
  </si>
  <si>
    <t>ㆣㄧㄥ</t>
  </si>
  <si>
    <t>ip̚</t>
  </si>
  <si>
    <t>ㄧㆴ</t>
  </si>
  <si>
    <t>ㄏㄧㆴ</t>
  </si>
  <si>
    <t>ㄌㄧㆴ</t>
  </si>
  <si>
    <t>ㄐㄧㆴ</t>
  </si>
  <si>
    <t>ㄑㄧㆴ</t>
  </si>
  <si>
    <t>ㆢㄧㆴ</t>
  </si>
  <si>
    <t>ㄒㄧㆴ</t>
  </si>
  <si>
    <t>ㄍㄧㆴ</t>
  </si>
  <si>
    <t>ㄎㄧㆴ</t>
  </si>
  <si>
    <t>it̚</t>
  </si>
  <si>
    <t>ㄧㆵ</t>
  </si>
  <si>
    <t>ㄏㄧㆵ</t>
  </si>
  <si>
    <t>ㄅㄧㆵ</t>
  </si>
  <si>
    <t>ㄆㄧㆵ</t>
  </si>
  <si>
    <t>ㆠㄧㆵ</t>
  </si>
  <si>
    <t>ㄉㄧㆵ</t>
  </si>
  <si>
    <t>ㄊㄧㆵ</t>
  </si>
  <si>
    <t>ㄌㄧㆵ</t>
  </si>
  <si>
    <t>ㄐㄧㆵ</t>
  </si>
  <si>
    <t>ㄑㄧㆵ</t>
  </si>
  <si>
    <t>ㆢㄧㆵ</t>
  </si>
  <si>
    <t>ㄒㄧㆵ</t>
  </si>
  <si>
    <t>ㄍㄧㆵ</t>
  </si>
  <si>
    <t>ㄎㄧㆵ</t>
  </si>
  <si>
    <t>ik̚/ɪək̚</t>
  </si>
  <si>
    <t>ㄧㆻ</t>
  </si>
  <si>
    <t>ㄏㄧㆻ</t>
  </si>
  <si>
    <t>ㄅㄧㆻ</t>
  </si>
  <si>
    <t>ㄆㄧㆻ</t>
  </si>
  <si>
    <t>ㆠㄧㆻ</t>
  </si>
  <si>
    <t>ㄉㄧㆻ</t>
  </si>
  <si>
    <t>ㄊㄧㆻ</t>
  </si>
  <si>
    <t>ㄌㄧㆻ</t>
  </si>
  <si>
    <t>ㄐㄧㆻ</t>
  </si>
  <si>
    <t>ㄑㄧㆻ</t>
  </si>
  <si>
    <t>ㆢㄧㆻ</t>
  </si>
  <si>
    <t>ㄒㄧㆻ</t>
  </si>
  <si>
    <t>ㄍㄧㆻ</t>
  </si>
  <si>
    <t>ㄎㄧㆻ</t>
  </si>
  <si>
    <t>ㆣㄧㆻ</t>
  </si>
  <si>
    <t>ɪa</t>
  </si>
  <si>
    <t>ㄧㄚ</t>
  </si>
  <si>
    <t>ㄏㄧㄚ</t>
  </si>
  <si>
    <t>ㄇㄧㄚ</t>
  </si>
  <si>
    <t>ㄉㄧㄚ</t>
  </si>
  <si>
    <t>ㄋㄧㄚ</t>
  </si>
  <si>
    <t>ㄌㄧㄚ</t>
  </si>
  <si>
    <t>ㄐㄧㄚ</t>
  </si>
  <si>
    <t>ㄑㄧㄚ</t>
  </si>
  <si>
    <t>ㆢㄧㄚ</t>
  </si>
  <si>
    <t>ㄒㄧㄚ</t>
  </si>
  <si>
    <t>ㄍㄧㄚ</t>
  </si>
  <si>
    <t>ㄎㄧㄚ</t>
  </si>
  <si>
    <t>ㆣㄧㄚ</t>
  </si>
  <si>
    <t>ㄫㄧㄚ</t>
  </si>
  <si>
    <t>iã</t>
  </si>
  <si>
    <t>ㄧㆩ</t>
  </si>
  <si>
    <t>ㄏㄧㆩ</t>
  </si>
  <si>
    <t>ㄅㄧㆩ</t>
  </si>
  <si>
    <t>ㄆㄧㆩ</t>
  </si>
  <si>
    <t>ㄉㄧㆩ</t>
  </si>
  <si>
    <t>ㄊㄧㆩ</t>
  </si>
  <si>
    <t>ㄐㄧㆩ</t>
  </si>
  <si>
    <t>ㄑㄧㆩ</t>
  </si>
  <si>
    <t>ㄒㄧㆩ</t>
  </si>
  <si>
    <t>ㄍㄧㆩ</t>
  </si>
  <si>
    <t>ㄎㄧㆩ</t>
  </si>
  <si>
    <t>ɪaʔ</t>
  </si>
  <si>
    <t>ㄧㄚㆷ</t>
  </si>
  <si>
    <t>ㄏㄧㄚㆷ</t>
  </si>
  <si>
    <t>ㄅㄧㄚㆷ</t>
  </si>
  <si>
    <t>ㄆㄧㄚㆷ</t>
  </si>
  <si>
    <t>ㄉㄧㄚㆷ</t>
  </si>
  <si>
    <t>ㄊㄧㄚㆷ</t>
  </si>
  <si>
    <t>ㄌㄧㄚㆷ</t>
  </si>
  <si>
    <t>ㄐㄧㄚㆷ</t>
  </si>
  <si>
    <t>ㄑㄧㄚㆷ</t>
  </si>
  <si>
    <t>ㆢㄧㄚㆷ</t>
  </si>
  <si>
    <t>ㄒㄧㄚㆷ</t>
  </si>
  <si>
    <t>ㄍㄧㄚㆷ</t>
  </si>
  <si>
    <t>ㄎㄧㄚㆷ</t>
  </si>
  <si>
    <t>ㆣㄧㄚㆷ</t>
  </si>
  <si>
    <t>iãʔ</t>
  </si>
  <si>
    <t>ㄧㆩㆷ</t>
  </si>
  <si>
    <t>ㄏㄧㆩㆷ</t>
  </si>
  <si>
    <t>ㄒㄧㆩㆷ</t>
  </si>
  <si>
    <t>ɪam</t>
  </si>
  <si>
    <t>ㄧㆰ</t>
  </si>
  <si>
    <t>ㄏㄧㆰ</t>
  </si>
  <si>
    <t>ㄉㄧㆰ</t>
  </si>
  <si>
    <t>ㄊㄧㆰ</t>
  </si>
  <si>
    <t>ㄌㄧㆰ</t>
  </si>
  <si>
    <t>ㄐㄧㆰ</t>
  </si>
  <si>
    <t>ㄑㄧㆰ</t>
  </si>
  <si>
    <t>ㆢㄧㆰ</t>
  </si>
  <si>
    <t>ㄒㄧㆰ</t>
  </si>
  <si>
    <t>ㄍㄧㆰ</t>
  </si>
  <si>
    <t>ㄎㄧㆰ</t>
  </si>
  <si>
    <t>ㆣㄧㆰ</t>
  </si>
  <si>
    <t>ɪan/en</t>
  </si>
  <si>
    <t>ㄧㄢ</t>
  </si>
  <si>
    <t>ㄏㄧㄢ</t>
  </si>
  <si>
    <t>ㄅㄧㄢ</t>
  </si>
  <si>
    <t>ㄆㄧㄢ</t>
  </si>
  <si>
    <t>ㆠㄧㄢ</t>
  </si>
  <si>
    <t>ㄉㄧㄢ</t>
  </si>
  <si>
    <t>ㄊㄧㄢ</t>
  </si>
  <si>
    <t>ㄌㄧㄢ</t>
  </si>
  <si>
    <t>ㄐㄧㄢ</t>
  </si>
  <si>
    <t>ㄑㄧㄢ</t>
  </si>
  <si>
    <t>ㆢㄧㄢ</t>
  </si>
  <si>
    <t>ㄒㄧㄢ</t>
  </si>
  <si>
    <t>ㄍㄧㄢ</t>
  </si>
  <si>
    <t>ㄎㄧㄢ</t>
  </si>
  <si>
    <t>ㆣㄧㄢ</t>
  </si>
  <si>
    <t>ɪaŋ</t>
  </si>
  <si>
    <t>ㄧㄤ</t>
  </si>
  <si>
    <t>ㄏㄧㄤ</t>
  </si>
  <si>
    <t>ㄅㄧㄤ</t>
  </si>
  <si>
    <t>ㄆㄧㄤ</t>
  </si>
  <si>
    <t>ㄌㄧㄤ</t>
  </si>
  <si>
    <t>ㄐㄧㄤ</t>
  </si>
  <si>
    <t>ㄑㄧㄤ</t>
  </si>
  <si>
    <t>ㆢㄧㄤ</t>
  </si>
  <si>
    <t>ㄒㄧㄤ</t>
  </si>
  <si>
    <t>ㄍㄧㄤ</t>
  </si>
  <si>
    <t>ㄎㄧㄤ</t>
  </si>
  <si>
    <t>ㆣㄧㄤ</t>
  </si>
  <si>
    <t>ɪap̚</t>
  </si>
  <si>
    <t>ㄧㄚㆴ</t>
  </si>
  <si>
    <t>ㄏㄧㄚㆴ</t>
  </si>
  <si>
    <t>ㄉㄧㄚㆴ</t>
  </si>
  <si>
    <t>ㄊㄧㄚㆴ</t>
  </si>
  <si>
    <t>ㄌㄧㄚㆴ</t>
  </si>
  <si>
    <t>ㄐㄧㄚㆴ</t>
  </si>
  <si>
    <t>ㄑㄧㄚㆴ</t>
  </si>
  <si>
    <t>ㆢㄧㄚㆴ</t>
  </si>
  <si>
    <t>ㄒㄧㄚㆴ</t>
  </si>
  <si>
    <t>ㄍㄧㄚㆴ</t>
  </si>
  <si>
    <t>ㄎㄧㄚㆴ</t>
  </si>
  <si>
    <t>ㆣㄧㄚㆴ</t>
  </si>
  <si>
    <t>ɪat̚/ɪet̚</t>
  </si>
  <si>
    <t>ㄧㄚㆵ</t>
  </si>
  <si>
    <t>ㄏㄧㄚㆵ</t>
  </si>
  <si>
    <t>ㄅㄧㄚㆵ</t>
  </si>
  <si>
    <t>ㄆㄧㄚㆵ</t>
  </si>
  <si>
    <t>ㆠㄧㄚㆵ</t>
  </si>
  <si>
    <t>ㄉㄧㄚㆵ</t>
  </si>
  <si>
    <t>ㄊㄧㄚㆵ</t>
  </si>
  <si>
    <t>ㄌㄧㄚㆵ</t>
  </si>
  <si>
    <t>ㄐㄧㄚㆵ</t>
  </si>
  <si>
    <t>ㄑㄧㄚㆵ</t>
  </si>
  <si>
    <t>ㆢㄧㄚㆵ</t>
  </si>
  <si>
    <t>ㄒㄧㄚㆵ</t>
  </si>
  <si>
    <t>ㄍㄧㄚㆵ</t>
  </si>
  <si>
    <t>ㄎㄧㄚㆵ</t>
  </si>
  <si>
    <t>ㆣㄧㄚㆵ</t>
  </si>
  <si>
    <t>ɪak̚</t>
  </si>
  <si>
    <t>ㄧㄚㆻ</t>
  </si>
  <si>
    <t>ㄅㄧㄚㆻ</t>
  </si>
  <si>
    <t>ㄆㄧㄚㆻ</t>
  </si>
  <si>
    <t>ㄉㄧㄚㆻ</t>
  </si>
  <si>
    <t>ㄑㄧㄚㆻ</t>
  </si>
  <si>
    <t>ㄒㄧㄚㆻ</t>
  </si>
  <si>
    <t>ㄎㄧㄚㆻ</t>
  </si>
  <si>
    <t>ɪau</t>
  </si>
  <si>
    <t>ㄧㄠ</t>
  </si>
  <si>
    <t>ㄏㄧㄠ</t>
  </si>
  <si>
    <t>ㄅㄧㄠ</t>
  </si>
  <si>
    <t>ㄆㄧㄠ</t>
  </si>
  <si>
    <t>ㆠㄧㄠ</t>
  </si>
  <si>
    <t>ㄇㄧㄠ</t>
  </si>
  <si>
    <t>ㄉㄧㄠ</t>
  </si>
  <si>
    <t>ㄊㄧㄠ</t>
  </si>
  <si>
    <t>ㄋㄧㄠ</t>
  </si>
  <si>
    <t>ㄌㄧㄠ</t>
  </si>
  <si>
    <t>ㄐㄧㄠ</t>
  </si>
  <si>
    <t>ㄑㄧㄠ</t>
  </si>
  <si>
    <t>ㆢㄧㄠ</t>
  </si>
  <si>
    <t>ㄒㄧㄠ</t>
  </si>
  <si>
    <t>ㄍㄧㄠ</t>
  </si>
  <si>
    <t>ㄎㄧㄠ</t>
  </si>
  <si>
    <t>ㆣㄧㄠ</t>
  </si>
  <si>
    <t>ㄫㄧㄠ</t>
  </si>
  <si>
    <t>ɪãu</t>
  </si>
  <si>
    <t>ㄧㆯ</t>
  </si>
  <si>
    <t>ɪauʔ</t>
  </si>
  <si>
    <t>ㄧㄠㆷ</t>
  </si>
  <si>
    <t>ㄏㄧㄠㆷ</t>
  </si>
  <si>
    <t>ㄎㄧㄠㆷ</t>
  </si>
  <si>
    <t>ㄫㄧㄠㆷ</t>
  </si>
  <si>
    <t>ɪə/ɪo</t>
  </si>
  <si>
    <t>ㄧㄜ</t>
  </si>
  <si>
    <t>ㄏㄧㄜ</t>
  </si>
  <si>
    <t>ㄅㄧㄜ</t>
  </si>
  <si>
    <t>ㄆㄧㄜ</t>
  </si>
  <si>
    <t>ㆠㄧㄜ</t>
  </si>
  <si>
    <t>ㄉㄧㄜ</t>
  </si>
  <si>
    <t>ㄊㄧㄜ</t>
  </si>
  <si>
    <t>ㄌㄧㄜ</t>
  </si>
  <si>
    <t>ㄐㄧㄜ</t>
  </si>
  <si>
    <t>ㄑㄧㄜ</t>
  </si>
  <si>
    <t>ㆢㄧㄜ</t>
  </si>
  <si>
    <t>ㄒㄧㄜ</t>
  </si>
  <si>
    <t>ㄍㄧㄜ</t>
  </si>
  <si>
    <t>ㄎㄧㄜ</t>
  </si>
  <si>
    <t>ㆣㄧㄜ</t>
  </si>
  <si>
    <t>ɪɔ̃</t>
  </si>
  <si>
    <t>ㄧㆧ</t>
  </si>
  <si>
    <t>ㄏㄧㆧ</t>
  </si>
  <si>
    <t>ㄉㄧㆧ</t>
  </si>
  <si>
    <t>ㄐㄧㆧ</t>
  </si>
  <si>
    <t>ㄑㄧㆧ</t>
  </si>
  <si>
    <t>ㄒㄧㆧ</t>
  </si>
  <si>
    <t>ㄍㄧㆧ</t>
  </si>
  <si>
    <t>ㄎㄧㆧ</t>
  </si>
  <si>
    <t>ɪəʔ/ɪoʔ</t>
  </si>
  <si>
    <t>ㄧㄜㆷ</t>
  </si>
  <si>
    <t>ㄏㄧㄜㆷ</t>
  </si>
  <si>
    <t>ㄉㄧㄜㆷ</t>
  </si>
  <si>
    <t>ㄌㄧㄜㆷ</t>
  </si>
  <si>
    <t>ㄐㄧㄜㆷ</t>
  </si>
  <si>
    <t>ㄑㄧㄜㆷ</t>
  </si>
  <si>
    <t>ㄒㄧㄜㆷ</t>
  </si>
  <si>
    <t>ㄍㄧㄜㆷ</t>
  </si>
  <si>
    <t>ㄎㄧㄜㆷ</t>
  </si>
  <si>
    <t>ㆣㄧㄜㆷ</t>
  </si>
  <si>
    <t>ɪɔŋ</t>
  </si>
  <si>
    <t>ㄧㆲ</t>
  </si>
  <si>
    <t>ㄏㄧㆲ</t>
  </si>
  <si>
    <t>ㄉㄧㆲ</t>
  </si>
  <si>
    <t>ㄊㄧㆲ</t>
  </si>
  <si>
    <t>ㄌㄧㆲ</t>
  </si>
  <si>
    <t>ㄐㄧㆲ</t>
  </si>
  <si>
    <t>ㄑㄧㆲ</t>
  </si>
  <si>
    <t>ㆢㄧㆲ</t>
  </si>
  <si>
    <t>ㄒㄧㆲ</t>
  </si>
  <si>
    <t>ㄍㄧㆲ</t>
  </si>
  <si>
    <t>ㄎㄧㆲ</t>
  </si>
  <si>
    <t>ㆣㄧㆲ</t>
  </si>
  <si>
    <t>ɪɔk̚</t>
  </si>
  <si>
    <t>ㄧㆦㆻ</t>
  </si>
  <si>
    <t>ㄏㄧㆦㆻ</t>
  </si>
  <si>
    <t>ㄉㄧㆦㆻ</t>
  </si>
  <si>
    <t>ㄊㄧㆦㆻ</t>
  </si>
  <si>
    <t>ㄌㄧㆦㆻ</t>
  </si>
  <si>
    <t>ㄐㄧㆦㆻ</t>
  </si>
  <si>
    <t>ㄑㄧㆦㆻ</t>
  </si>
  <si>
    <t>ㆢㄧㆦㆻ</t>
  </si>
  <si>
    <t>ㄒㄧㆦㆻ</t>
  </si>
  <si>
    <t>ㄍㄧㆦㆻ</t>
  </si>
  <si>
    <t>ㄎㄧㆦㆻ</t>
  </si>
  <si>
    <t>ㆣㄧㆦㆻ</t>
  </si>
  <si>
    <t>iu</t>
  </si>
  <si>
    <t>ㄧㄨ</t>
  </si>
  <si>
    <t>ㄏㄧㄨ</t>
  </si>
  <si>
    <t>ㄅㄧㄨ</t>
  </si>
  <si>
    <t>ㆠㄧㄨ</t>
  </si>
  <si>
    <t>ㄉㄧㄨ</t>
  </si>
  <si>
    <t>ㄊㄧㄨ</t>
  </si>
  <si>
    <t>ㄋㄧㄨ</t>
  </si>
  <si>
    <t>ㄌㄧㄨ</t>
  </si>
  <si>
    <t>ㄐㄧㄨ</t>
  </si>
  <si>
    <t>ㄑㄧㄨ</t>
  </si>
  <si>
    <t>ㆢㄧㄨ</t>
  </si>
  <si>
    <t>ㄒㄧㄨ</t>
  </si>
  <si>
    <t>ㄍㄧㄨ</t>
  </si>
  <si>
    <t>ㄎㄧㄨ</t>
  </si>
  <si>
    <t>ㆣㄧㄨ</t>
  </si>
  <si>
    <t>ㄫㄧㄨ</t>
  </si>
  <si>
    <t>iũ</t>
  </si>
  <si>
    <t>ㄧㆫ</t>
  </si>
  <si>
    <t>ㄏㄧㆫ</t>
  </si>
  <si>
    <t>ㄉㄧㆫ</t>
  </si>
  <si>
    <t>ㄐㄧㆫ</t>
  </si>
  <si>
    <t>ㄑㄧㆫ</t>
  </si>
  <si>
    <t>ㄒㄧㆫ</t>
  </si>
  <si>
    <t>ㄍㄧㆫ</t>
  </si>
  <si>
    <t>ㄎㄧㆫ</t>
  </si>
  <si>
    <t>iũʔ</t>
  </si>
  <si>
    <t>ㄧㆫㆷ</t>
  </si>
  <si>
    <t>ㄏㄧㆫㆷ</t>
  </si>
  <si>
    <t>ə/o</t>
  </si>
  <si>
    <t>ㄜ</t>
  </si>
  <si>
    <t>ㄏㄜ</t>
  </si>
  <si>
    <t>ㄅㄜ</t>
  </si>
  <si>
    <t>ㄆㄜ</t>
  </si>
  <si>
    <t>ㆠㄜ</t>
  </si>
  <si>
    <t>ㄉㄜ</t>
  </si>
  <si>
    <t>ㄊㄜ</t>
  </si>
  <si>
    <t>ㄌㄜ</t>
  </si>
  <si>
    <t>ㄗㄜ</t>
  </si>
  <si>
    <t>ㄘㄜ</t>
  </si>
  <si>
    <t>ㄙㄜ</t>
  </si>
  <si>
    <t>ㄍㄜ</t>
  </si>
  <si>
    <t>ㄎㄜ</t>
  </si>
  <si>
    <t>ㆣㄜ</t>
  </si>
  <si>
    <t>ɔ</t>
  </si>
  <si>
    <t>ㆦ</t>
  </si>
  <si>
    <t>ㄏㆦ</t>
  </si>
  <si>
    <t>ㄅㆦ</t>
  </si>
  <si>
    <t>ㄆㆦ</t>
  </si>
  <si>
    <t>ㆠㆦ</t>
  </si>
  <si>
    <t>ㄇㆦ</t>
  </si>
  <si>
    <t>ㄉㆦ</t>
  </si>
  <si>
    <t>ㄊㆦ</t>
  </si>
  <si>
    <t>ㄋㆦ</t>
  </si>
  <si>
    <t>ㄌㆦ</t>
  </si>
  <si>
    <t>ㄗㆦ</t>
  </si>
  <si>
    <t>ㄘㆦ</t>
  </si>
  <si>
    <t>ㄙㆦ</t>
  </si>
  <si>
    <t>ㄍㆦ</t>
  </si>
  <si>
    <t>ㄎㆦ</t>
  </si>
  <si>
    <t>ㆣㆦ</t>
  </si>
  <si>
    <t>ㄫㆦ</t>
  </si>
  <si>
    <t>ɔ̃</t>
  </si>
  <si>
    <t>ㆧ</t>
  </si>
  <si>
    <t>ㄏㆧ</t>
  </si>
  <si>
    <t>ㄍㆧ</t>
  </si>
  <si>
    <t>əʔ/oʔ</t>
  </si>
  <si>
    <t>ㄜㆷ</t>
  </si>
  <si>
    <t>ㄏㄜㆷ</t>
  </si>
  <si>
    <t>ㄅㄜㆷ</t>
  </si>
  <si>
    <t>ㄆㄜㆷ</t>
  </si>
  <si>
    <t>ㆠㄜㆷ</t>
  </si>
  <si>
    <t>ㄉㄜㆷ</t>
  </si>
  <si>
    <t>ㄊㄜㆷ</t>
  </si>
  <si>
    <t>ㄌㄜㆷ</t>
  </si>
  <si>
    <t>ㄗㄜㆷ</t>
  </si>
  <si>
    <t>ㄘㄜㆷ</t>
  </si>
  <si>
    <t>ㄙㄜㆷ</t>
  </si>
  <si>
    <t>ㄍㄜㆷ</t>
  </si>
  <si>
    <t>ɔʔ</t>
  </si>
  <si>
    <t>ㆦㆷ</t>
  </si>
  <si>
    <t>ㄏㆦㆷ</t>
  </si>
  <si>
    <t>ㄇㆦㆷ</t>
  </si>
  <si>
    <t>ㄉㆦㆷ</t>
  </si>
  <si>
    <t>ㄌㆦㆷ</t>
  </si>
  <si>
    <t>ㄍㆦㆷ</t>
  </si>
  <si>
    <t>ɔ̃ʔ</t>
  </si>
  <si>
    <t>ㆧㆷ</t>
  </si>
  <si>
    <t>ㄏㆧㆷ</t>
  </si>
  <si>
    <t>ɔm</t>
  </si>
  <si>
    <t>ㆱ</t>
  </si>
  <si>
    <t>ㄉㆱ</t>
  </si>
  <si>
    <t>ㄙㆱ</t>
  </si>
  <si>
    <t>ɔŋ</t>
  </si>
  <si>
    <t>ㆲ</t>
  </si>
  <si>
    <t>ㄏㆲ</t>
  </si>
  <si>
    <t>ㄅㆲ</t>
  </si>
  <si>
    <t>ㄆㆲ</t>
  </si>
  <si>
    <t>ㆠㆲ</t>
  </si>
  <si>
    <t>ㄉㆲ</t>
  </si>
  <si>
    <t>ㄊㆲ</t>
  </si>
  <si>
    <t>ㄌㆲ</t>
  </si>
  <si>
    <t>ㄗㆲ</t>
  </si>
  <si>
    <t>ㄘㆲ</t>
  </si>
  <si>
    <t>ㄙㆲ</t>
  </si>
  <si>
    <t>ㄍㆲ</t>
  </si>
  <si>
    <t>ㄎㆲ</t>
  </si>
  <si>
    <t>ㆣㆲ</t>
  </si>
  <si>
    <t>ɔp̚</t>
  </si>
  <si>
    <t>ㆦㆴ</t>
  </si>
  <si>
    <t>ㄏㆦㆴ</t>
  </si>
  <si>
    <t>ㄌㆦㆴ</t>
  </si>
  <si>
    <t>ㄍㆦㆴ</t>
  </si>
  <si>
    <t>ɔk̚</t>
  </si>
  <si>
    <t>ㆦㆻ</t>
  </si>
  <si>
    <t>ㄏㆦㆻ</t>
  </si>
  <si>
    <t>ㄅㆦㆻ</t>
  </si>
  <si>
    <t>ㄆㆦㆻ</t>
  </si>
  <si>
    <t>ㆠㆦㆻ</t>
  </si>
  <si>
    <t>ㄉㆦㆻ</t>
  </si>
  <si>
    <t>ㄊㆦㆻ</t>
  </si>
  <si>
    <t>ㄌㆦㆻ</t>
  </si>
  <si>
    <t>ㄗㆦㆻ</t>
  </si>
  <si>
    <t>ㄘㆦㆻ</t>
  </si>
  <si>
    <t>ㄙㆦㆻ</t>
  </si>
  <si>
    <t>ㄍㆦㆻ</t>
  </si>
  <si>
    <t>ㄎㆦㆻ</t>
  </si>
  <si>
    <t>ㆣㆦㆻ</t>
  </si>
  <si>
    <t>u</t>
  </si>
  <si>
    <t>ㄨ</t>
  </si>
  <si>
    <t>ㄏㄨ</t>
  </si>
  <si>
    <t>ㄅㄨ</t>
  </si>
  <si>
    <t>ㄆㄨ</t>
  </si>
  <si>
    <t>ㆠㄨ</t>
  </si>
  <si>
    <t>ㄉㄨ</t>
  </si>
  <si>
    <t>ㄊㄨ</t>
  </si>
  <si>
    <t>ㄌㄨ</t>
  </si>
  <si>
    <t>ㄗㄨ</t>
  </si>
  <si>
    <t>ㄘㄨ</t>
  </si>
  <si>
    <t>ㆡㄨ</t>
  </si>
  <si>
    <t>ㄙㄨ</t>
  </si>
  <si>
    <t>ㄍㄨ</t>
  </si>
  <si>
    <t>ㄎㄨ</t>
  </si>
  <si>
    <t>ㆣㄨ</t>
  </si>
  <si>
    <t>uʔ</t>
  </si>
  <si>
    <t>ㄨㆷ</t>
  </si>
  <si>
    <t>ㄅㄨㆷ</t>
  </si>
  <si>
    <t>ㄆㄨㆷ</t>
  </si>
  <si>
    <t>ㆠㄨㆷ</t>
  </si>
  <si>
    <t>ㄉㄨㆷ</t>
  </si>
  <si>
    <t>ㄊㄨㆷ</t>
  </si>
  <si>
    <t>ㄌㄨㆷ</t>
  </si>
  <si>
    <t>ㄗㄨㆷ</t>
  </si>
  <si>
    <t>ㄘㄨㆷ</t>
  </si>
  <si>
    <t>ㄙㄨㆷ</t>
  </si>
  <si>
    <t>ㄎㄨㆷ</t>
  </si>
  <si>
    <t>un</t>
  </si>
  <si>
    <t>ㄨㄣ</t>
  </si>
  <si>
    <t>ㄏㄨㄣ</t>
  </si>
  <si>
    <t>ㄅㄨㄣ</t>
  </si>
  <si>
    <t>ㄆㄨㄣ</t>
  </si>
  <si>
    <t>ㆠㄨㄣ</t>
  </si>
  <si>
    <t>ㄉㄨㄣ</t>
  </si>
  <si>
    <t>ㄊㄨㄣ</t>
  </si>
  <si>
    <t>ㄌㄨㄣ</t>
  </si>
  <si>
    <t>ㄗㄨㄣ</t>
  </si>
  <si>
    <t>ㄘㄨㄣ</t>
  </si>
  <si>
    <t>ㆡㄨㄣ</t>
  </si>
  <si>
    <t>ㄙㄨㄣ</t>
  </si>
  <si>
    <t>ㄍㄨㄣ</t>
  </si>
  <si>
    <t>ㄎㄨㄣ</t>
  </si>
  <si>
    <t>ㆣㄨㄣ</t>
  </si>
  <si>
    <t>ut̚</t>
  </si>
  <si>
    <t>ㄨㆵ</t>
  </si>
  <si>
    <t>ㄏㄨㆵ</t>
  </si>
  <si>
    <t>ㄅㄨㆵ</t>
  </si>
  <si>
    <t>ㄆㄨㆵ</t>
  </si>
  <si>
    <t>ㆠㄨㆵ</t>
  </si>
  <si>
    <t>ㄉㄨㆵ</t>
  </si>
  <si>
    <t>ㄊㄨㆵ</t>
  </si>
  <si>
    <t>ㄌㄨㆵ</t>
  </si>
  <si>
    <t>ㄗㄨㆵ</t>
  </si>
  <si>
    <t>ㄘㄨㆵ</t>
  </si>
  <si>
    <t>ㄙㄨㆵ</t>
  </si>
  <si>
    <t>ㄍㄨㆵ</t>
  </si>
  <si>
    <t>ㄎㄨㆵ</t>
  </si>
  <si>
    <t>ua</t>
  </si>
  <si>
    <t>ㄨㄚ</t>
  </si>
  <si>
    <t>ㄏㄨㄚ</t>
  </si>
  <si>
    <t>ㄅㄨㄚ</t>
  </si>
  <si>
    <t>ㄆㄨㄚ</t>
  </si>
  <si>
    <t>ㆠㄨㄚ</t>
  </si>
  <si>
    <t>ㄇㄨㄚ</t>
  </si>
  <si>
    <t>ㄉㄨㄚ</t>
  </si>
  <si>
    <t>ㄊㄨㄚ</t>
  </si>
  <si>
    <t>ㄋㄨㄚ</t>
  </si>
  <si>
    <t>ㄌㄨㄚ</t>
  </si>
  <si>
    <t>ㄗㄨㄚ</t>
  </si>
  <si>
    <t>ㄘㄨㄚ</t>
  </si>
  <si>
    <t>ㆡㄨㄚ</t>
  </si>
  <si>
    <t>ㄙㄨㄚ</t>
  </si>
  <si>
    <t>ㄍㄨㄚ</t>
  </si>
  <si>
    <t>ㄎㄨㄚ</t>
  </si>
  <si>
    <t>ㆣㄨㄚ</t>
  </si>
  <si>
    <t>uã</t>
  </si>
  <si>
    <t>ㄨㆩ</t>
  </si>
  <si>
    <t>ㄏㄨㆩ</t>
  </si>
  <si>
    <t>ㄅㄨㆩ</t>
  </si>
  <si>
    <t>ㄆㄨㆩ</t>
  </si>
  <si>
    <t>ㄉㄨㆩ</t>
  </si>
  <si>
    <t>ㄊㄨㆩ</t>
  </si>
  <si>
    <t>ㄗㄨㆩ</t>
  </si>
  <si>
    <t>ㄘㄨㆩ</t>
  </si>
  <si>
    <t>ㄙㄨㆩ</t>
  </si>
  <si>
    <t>ㄍㄨㆩ</t>
  </si>
  <si>
    <t>ㄎㄨㆩ</t>
  </si>
  <si>
    <t>uaʔ</t>
  </si>
  <si>
    <t>ㄨㄚㆷ</t>
  </si>
  <si>
    <t>ㄏㄨㄚㆷ</t>
  </si>
  <si>
    <t>ㄅㄨㄚㆷ</t>
  </si>
  <si>
    <t>ㄆㄨㄚㆷ</t>
  </si>
  <si>
    <t>ㆠㄨㄚㆷ</t>
  </si>
  <si>
    <t>ㄉㄨㄚㆷ</t>
  </si>
  <si>
    <t>ㄊㄨㄚㆷ</t>
  </si>
  <si>
    <t>ㄌㄨㄚㆷ</t>
  </si>
  <si>
    <t>ㄗㄨㄚㆷ</t>
  </si>
  <si>
    <t>ㄘㄨㄚㆷ</t>
  </si>
  <si>
    <t>ㆡㄨㄚㆷ</t>
  </si>
  <si>
    <t>ㄙㄨㄚㆷ</t>
  </si>
  <si>
    <t>ㄍㄨㄚㆷ</t>
  </si>
  <si>
    <t>ㄎㄨㄚㆷ</t>
  </si>
  <si>
    <t>uan</t>
  </si>
  <si>
    <t>ㄨㄢ</t>
  </si>
  <si>
    <t>ㄏㄨㄢ</t>
  </si>
  <si>
    <t>ㄅㄨㄢ</t>
  </si>
  <si>
    <t>ㄆㄨㄢ</t>
  </si>
  <si>
    <t>ㆠㄨㄢ</t>
  </si>
  <si>
    <t>ㄉㄨㄢ</t>
  </si>
  <si>
    <t>ㄊㄨㄢ</t>
  </si>
  <si>
    <t>ㄌㄨㄢ</t>
  </si>
  <si>
    <t>ㄗㄨㄢ</t>
  </si>
  <si>
    <t>ㄘㄨㄢ</t>
  </si>
  <si>
    <t>ㄙㄨㄢ</t>
  </si>
  <si>
    <t>ㄍㄨㄢ</t>
  </si>
  <si>
    <t>ㄎㄨㄢ</t>
  </si>
  <si>
    <t>ㆣㄨㄢ</t>
  </si>
  <si>
    <t>uaŋ</t>
  </si>
  <si>
    <t>ㄨㄤ</t>
  </si>
  <si>
    <t>ㄏㄨㄤ</t>
  </si>
  <si>
    <t>ㄘㄨㄤ</t>
  </si>
  <si>
    <t>uat̚</t>
  </si>
  <si>
    <t>ㄨㄚㆵ</t>
  </si>
  <si>
    <t>ㄏㄨㄚㆵ</t>
  </si>
  <si>
    <t>ㄅㄨㄚㆵ</t>
  </si>
  <si>
    <t>ㄆㄨㄚㆵ</t>
  </si>
  <si>
    <t>ㆠㄨㄚㆵ</t>
  </si>
  <si>
    <t>ㄉㄨㄚㆵ</t>
  </si>
  <si>
    <t>ㄊㄨㄚㆵ</t>
  </si>
  <si>
    <t>ㄌㄨㄚㆵ</t>
  </si>
  <si>
    <t>ㄗㄨㄚㆵ</t>
  </si>
  <si>
    <t>ㄙㄨㄚㆵ</t>
  </si>
  <si>
    <t>ㄍㄨㄚㆵ</t>
  </si>
  <si>
    <t>ㄎㄨㄚㆵ</t>
  </si>
  <si>
    <t>ㆣㄨㄚㆵ</t>
  </si>
  <si>
    <t>uai</t>
  </si>
  <si>
    <t>ㄨㄞ</t>
  </si>
  <si>
    <t>ㄏㄨㄞ</t>
  </si>
  <si>
    <t>ㄙㄨㄞ</t>
  </si>
  <si>
    <t>ㄍㄨㄞ</t>
  </si>
  <si>
    <t>ㄎㄨㄞ</t>
  </si>
  <si>
    <t>uãi</t>
  </si>
  <si>
    <t>ㄨㆮ</t>
  </si>
  <si>
    <t>ㄏㄨㆮ</t>
  </si>
  <si>
    <t>ㄗㄨㆮ</t>
  </si>
  <si>
    <t>ㄙㄨㆮ</t>
  </si>
  <si>
    <t>ㄍㄨㆮ</t>
  </si>
  <si>
    <t>uaiʔ</t>
  </si>
  <si>
    <t>ㄨㄞㆷ</t>
  </si>
  <si>
    <t>ㆠㄨㄞㆷ</t>
  </si>
  <si>
    <t>ㄌㄨㄞㆷ</t>
  </si>
  <si>
    <t>ㄘㄨㄞㆷ</t>
  </si>
  <si>
    <t>ㄍㄨㄞㆷ</t>
  </si>
  <si>
    <t>uãiʔ</t>
  </si>
  <si>
    <t>ㄨㆮㆷ</t>
  </si>
  <si>
    <t>ㄍㄨㆮㆷ</t>
  </si>
  <si>
    <t>ue</t>
  </si>
  <si>
    <t>ㄨㆤ</t>
  </si>
  <si>
    <t>ㄏㄨㆤ</t>
  </si>
  <si>
    <t>ㄅㄨㆤ</t>
  </si>
  <si>
    <t>ㄆㄨㆤ</t>
  </si>
  <si>
    <t>ㆠㄨㆤ</t>
  </si>
  <si>
    <t>ㄇㄨㆤ</t>
  </si>
  <si>
    <t>ㄉㄨㆤ</t>
  </si>
  <si>
    <t>ㄊㄨㆤ</t>
  </si>
  <si>
    <t>ㄌㄨㆤ</t>
  </si>
  <si>
    <t>ㄗㄨㆤ</t>
  </si>
  <si>
    <t>ㄘㄨㆤ</t>
  </si>
  <si>
    <t>ㆡㄨㆤ</t>
  </si>
  <si>
    <t>ㄙㄨㆤ</t>
  </si>
  <si>
    <t>ㄍㄨㆤ</t>
  </si>
  <si>
    <t>ㄎㄨㆤ</t>
  </si>
  <si>
    <t>ㆣㄨㆤ</t>
  </si>
  <si>
    <t>ueʔ</t>
  </si>
  <si>
    <t>ㄨㆤㆷ</t>
  </si>
  <si>
    <t>ㄏㄨㆤㆷ</t>
  </si>
  <si>
    <t>ㄅㄨㆤㆷ</t>
  </si>
  <si>
    <t>ㄆㄨㆤㆷ</t>
  </si>
  <si>
    <t>ㆠㄨㆤㆷ</t>
  </si>
  <si>
    <t>ㄊㄨㆤㆷ</t>
  </si>
  <si>
    <t>ㄌㄨㆤㆷ</t>
  </si>
  <si>
    <t>ㄗㄨㆤㆷ</t>
  </si>
  <si>
    <t>ㄘㄨㆤㆷ</t>
  </si>
  <si>
    <t>ㄙㄨㆤㆷ</t>
  </si>
  <si>
    <t>ㄍㄨㆤㆷ</t>
  </si>
  <si>
    <t>ㄎㄨㆤㆷ</t>
  </si>
  <si>
    <t>ㆣㄨㆤㆷ</t>
  </si>
  <si>
    <t>ㄫㄨㆤㆷ</t>
  </si>
  <si>
    <t>ui</t>
  </si>
  <si>
    <t>ㄨㄧ</t>
  </si>
  <si>
    <t>ㄏㄨㄧ</t>
  </si>
  <si>
    <t>ㄅㄨㄧ</t>
  </si>
  <si>
    <t>ㄆㄨㄧ</t>
  </si>
  <si>
    <t>ㆠㄨㄧ</t>
  </si>
  <si>
    <t>ㄇㄨㄧ</t>
  </si>
  <si>
    <t>ㄉㄨㄧ</t>
  </si>
  <si>
    <t>ㄊㄨㄧ</t>
  </si>
  <si>
    <t>ㄌㄨㄧ</t>
  </si>
  <si>
    <t>ㄗㄨㄧ</t>
  </si>
  <si>
    <t>ㄘㄨㄧ</t>
  </si>
  <si>
    <t>ㄙㄨㄧ</t>
  </si>
  <si>
    <t>ㄍㄨㄧ</t>
  </si>
  <si>
    <t>ㄎㄨㄧ</t>
  </si>
  <si>
    <t>ㆣㄨㄧ</t>
  </si>
  <si>
    <t>uĩ</t>
  </si>
  <si>
    <t>ㄨㆪ</t>
  </si>
  <si>
    <t>ㄏㄨㆪ</t>
  </si>
  <si>
    <t>ㄅㄨㆪ</t>
  </si>
  <si>
    <t>ㄗㄨㆪ</t>
  </si>
  <si>
    <t>ㄘㄨㆪ</t>
  </si>
  <si>
    <t>ㄙㄨㆪ</t>
  </si>
  <si>
    <t>ㄍㄨㆪ</t>
  </si>
  <si>
    <t>uiʔ</t>
  </si>
  <si>
    <t>ㄨㄧㆷ</t>
  </si>
  <si>
    <t>ㄏㄨㄧㆷ</t>
  </si>
  <si>
    <t>ㄍㄨㄧㆷ</t>
  </si>
  <si>
    <t>m̩</t>
  </si>
  <si>
    <t>ㆬ</t>
  </si>
  <si>
    <t>ㄏㆬ</t>
  </si>
  <si>
    <t>m̩ʔ</t>
  </si>
  <si>
    <t>ㆬㆷ</t>
  </si>
  <si>
    <t>ㄏㆬㆷ</t>
  </si>
  <si>
    <t>ŋ̍</t>
  </si>
  <si>
    <t>ㆭ</t>
  </si>
  <si>
    <t>ㄏㆭ</t>
  </si>
  <si>
    <t>ㄅㆭ</t>
  </si>
  <si>
    <t>ㄇㆭ</t>
  </si>
  <si>
    <t>ㄉㆭ</t>
  </si>
  <si>
    <t>ㄊㆭ</t>
  </si>
  <si>
    <t>ㄋㆭ</t>
  </si>
  <si>
    <t>ㄗㆭ</t>
  </si>
  <si>
    <t>ㄘㆭ</t>
  </si>
  <si>
    <t>ㄙㆭ</t>
  </si>
  <si>
    <t>ㄍㆭ</t>
  </si>
  <si>
    <t>ㄎㆭ</t>
  </si>
  <si>
    <t>ŋ̍ʔ</t>
  </si>
  <si>
    <t>ㆭㆷ</t>
  </si>
  <si>
    <t>ㄏㆭㆷ</t>
  </si>
  <si>
    <t>ㄆㆭㆷ</t>
  </si>
  <si>
    <t>ㄇㆭㆷ</t>
  </si>
  <si>
    <t>ㄘㆭㆷ</t>
  </si>
  <si>
    <t>ㄙㆭㆷ</t>
  </si>
  <si>
    <t>ㄎㆭㆷ</t>
  </si>
  <si>
    <t>範例</t>
  </si>
  <si>
    <t>我真頇顢講話，但是我真實在。 ㆣㄨㄚˋ ㄐㄧㄣ ㄏㄢˊ ㆠㄢ˫ ㄍㆲˋ ㄨㆤ˫，ㄉㄢ˫ ㄒㄧ˫ ㆣㄨㄚˋ ㄐㄧㄣ ㄒㄧㆵ ㄗㄞ˫。</t>
  </si>
  <si>
    <t>請手扞予好勢，跤徛予在。 ㄑㄧㆩˋ ㄑㄧㄨˋ ㄏㄨㆩ˫ ㄏㆦ˫ ㄏㄜˋ ㄙㆤ˪，ㄎㄚ ㄎㄧㄚ˫ ㄏㆦ˫ ㄗㄞ˫。</t>
  </si>
  <si>
    <t>------</t>
    <phoneticPr fontId="1" type="noConversion"/>
  </si>
  <si>
    <t>入聲韻尾</t>
  </si>
  <si>
    <t>第4調（陰入）</t>
  </si>
  <si>
    <t>ㆴ</t>
  </si>
  <si>
    <t>ㆵ</t>
  </si>
  <si>
    <t>ㆻ</t>
  </si>
  <si>
    <t>ㆷ</t>
  </si>
  <si>
    <t>第8調（陽入）</t>
  </si>
  <si>
    <t>ㆴ˙</t>
  </si>
  <si>
    <t>ㆵ˙</t>
  </si>
  <si>
    <t>ㆻ˙</t>
  </si>
  <si>
    <t>ㆷ˙</t>
  </si>
  <si>
    <t>聲調</t>
  </si>
  <si>
    <t>調號</t>
  </si>
  <si>
    <t>調名</t>
  </si>
  <si>
    <t>陰平</t>
  </si>
  <si>
    <t>陰上</t>
  </si>
  <si>
    <t>陰去</t>
  </si>
  <si>
    <t>陰入</t>
  </si>
  <si>
    <t>陽平</t>
  </si>
  <si>
    <t>陽去</t>
  </si>
  <si>
    <t>陽入</t>
  </si>
  <si>
    <t>ˋ</t>
  </si>
  <si>
    <t>˪</t>
  </si>
  <si>
    <t>ㆴ、ㆵ、ㆻ、ㆷ</t>
  </si>
  <si>
    <t>ˊ</t>
  </si>
  <si>
    <t>˫</t>
  </si>
  <si>
    <t>ㆴ˙、ㆵ˙、ㆻ˙、ㆷ˙</t>
  </si>
  <si>
    <t>調值</t>
  </si>
  <si>
    <t>˥˥ 55</t>
  </si>
  <si>
    <t>˥˩ 51</t>
  </si>
  <si>
    <t>˧˩ 31</t>
  </si>
  <si>
    <t>˧ 30</t>
  </si>
  <si>
    <t>˨˦ 24</t>
  </si>
  <si>
    <t>˧˧ 33</t>
  </si>
  <si>
    <t>˥ 50</t>
  </si>
  <si>
    <r>
      <t>Unicode</t>
    </r>
    <r>
      <rPr>
        <u/>
        <sz val="16"/>
        <color theme="10"/>
        <rFont val="Noto Sans TC Medium"/>
        <family val="2"/>
      </rPr>
      <t>表現</t>
    </r>
  </si>
  <si>
    <t>文字</t>
  </si>
  <si>
    <r>
      <t>Unicode</t>
    </r>
    <r>
      <rPr>
        <u/>
        <sz val="16"/>
        <color theme="10"/>
        <rFont val="Noto Sans TC Medium"/>
        <family val="2"/>
      </rPr>
      <t>序列</t>
    </r>
  </si>
  <si>
    <t>用途</t>
  </si>
  <si>
    <t>備註</t>
  </si>
  <si>
    <r>
      <t>U+31BB</t>
    </r>
    <r>
      <rPr>
        <u/>
        <sz val="16"/>
        <color theme="10"/>
        <rFont val="Noto Sans TC Medium"/>
        <family val="2"/>
      </rPr>
      <t>ㆻ</t>
    </r>
  </si>
  <si>
    <t>入聲韻尾-k</t>
  </si>
  <si>
    <r>
      <t>原誤收ㆶ字，</t>
    </r>
    <r>
      <rPr>
        <u/>
        <sz val="16"/>
        <color theme="10"/>
        <rFont val="Noto Sans TC Medium"/>
        <family val="2"/>
      </rPr>
      <t>Unicode 13 (2020)增補</t>
    </r>
  </si>
  <si>
    <t>ㆴ˙ㆵ˙ㆻ˙ㆷ˙</t>
  </si>
  <si>
    <r>
      <t>U+02D9</t>
    </r>
    <r>
      <rPr>
        <u/>
        <sz val="16"/>
        <color theme="10"/>
        <rFont val="Noto Sans TC Medium"/>
        <family val="2"/>
      </rPr>
      <t>˙</t>
    </r>
  </si>
  <si>
    <t>第8聲調號</t>
  </si>
  <si>
    <t>寫在入聲韻尾後方</t>
  </si>
  <si>
    <r>
      <t>U+02CB</t>
    </r>
    <r>
      <rPr>
        <u/>
        <sz val="16"/>
        <color theme="10"/>
        <rFont val="Noto Sans TC Medium"/>
        <family val="2"/>
      </rPr>
      <t>ˋ</t>
    </r>
  </si>
  <si>
    <t>第2聲調號</t>
  </si>
  <si>
    <r>
      <t>U+02EA</t>
    </r>
    <r>
      <rPr>
        <u/>
        <sz val="16"/>
        <color theme="10"/>
        <rFont val="Noto Sans TC Medium"/>
        <family val="2"/>
      </rPr>
      <t>˪</t>
    </r>
  </si>
  <si>
    <t>第3聲調號</t>
  </si>
  <si>
    <r>
      <t>U+02CA</t>
    </r>
    <r>
      <rPr>
        <u/>
        <sz val="16"/>
        <color theme="10"/>
        <rFont val="Noto Sans TC Medium"/>
        <family val="2"/>
      </rPr>
      <t>ˊ</t>
    </r>
  </si>
  <si>
    <t>第5聲調號</t>
  </si>
  <si>
    <r>
      <t>U+02EB</t>
    </r>
    <r>
      <rPr>
        <u/>
        <sz val="16"/>
        <color theme="10"/>
        <rFont val="Noto Sans TC Medium"/>
        <family val="2"/>
      </rPr>
      <t>˫</t>
    </r>
  </si>
  <si>
    <t>第7聲調號</t>
  </si>
  <si>
    <t>˙</t>
  </si>
  <si>
    <t>輕聲</t>
  </si>
  <si>
    <t>寫在音節前方或韻母後方</t>
  </si>
  <si>
    <t>地方腔的表達</t>
  </si>
  <si>
    <t>發音</t>
  </si>
  <si>
    <t>符號</t>
  </si>
  <si>
    <t>/ɛ/</t>
  </si>
  <si>
    <t>ㄝ</t>
  </si>
  <si>
    <t>須區別部分偏漳腔腔調並未併入/e/的[ɛ]時。</t>
  </si>
  <si>
    <t>/ə/</t>
  </si>
  <si>
    <t>一般習慣比照第一優勢腔寫成ㄜ，但若依教育部公告，ㄜ只用於泉腔閏音。</t>
  </si>
  <si>
    <t>/o/</t>
  </si>
  <si>
    <t>ㄛ</t>
  </si>
  <si>
    <t>教育部公告版本是用ㄛ。</t>
  </si>
  <si>
    <t>/ɨ/</t>
  </si>
  <si>
    <t>ㆨ</t>
  </si>
  <si>
    <t>表達部分偏泉腔調，並未併入 /i/ 或 /u/ [ɨ]。</t>
  </si>
  <si>
    <t>韻母</t>
  </si>
  <si>
    <t>韻腹</t>
  </si>
  <si>
    <t>aʊ</t>
  </si>
  <si>
    <t>ɪaʊ</t>
  </si>
  <si>
    <t>ɪə</t>
  </si>
  <si>
    <t>ɪɔ</t>
  </si>
  <si>
    <t>ə</t>
  </si>
  <si>
    <t>uaɪ</t>
  </si>
  <si>
    <t>陰聲韻</t>
  </si>
  <si>
    <t>ㄧㆦ</t>
  </si>
  <si>
    <t>鼻化韻</t>
  </si>
  <si>
    <t>-m</t>
    <phoneticPr fontId="1" type="noConversion"/>
  </si>
  <si>
    <t>-n</t>
    <phoneticPr fontId="1" type="noConversion"/>
  </si>
  <si>
    <t>-ŋ</t>
    <phoneticPr fontId="1" type="noConversion"/>
  </si>
  <si>
    <t>陽聲韻</t>
    <phoneticPr fontId="1" type="noConversion"/>
  </si>
  <si>
    <t>---</t>
    <phoneticPr fontId="1" type="noConversion"/>
  </si>
  <si>
    <t>聲母</t>
  </si>
  <si>
    <t>塞音(不送氣)</t>
  </si>
  <si>
    <t>塞音(送氣)</t>
  </si>
  <si>
    <t>濁音</t>
  </si>
  <si>
    <t>鼻音</t>
  </si>
  <si>
    <t>擦音</t>
  </si>
  <si>
    <t>邊音</t>
  </si>
  <si>
    <t>唇音</t>
  </si>
  <si>
    <t>ㄅ /p/</t>
  </si>
  <si>
    <t>ㄆ /pʰ/</t>
  </si>
  <si>
    <t>ㆠ /b/</t>
  </si>
  <si>
    <t>ㄇ /m/</t>
  </si>
  <si>
    <t>舌尖音</t>
  </si>
  <si>
    <t>ㄉ /t/</t>
  </si>
  <si>
    <t>ㄊ /tʰ/</t>
  </si>
  <si>
    <t>ㄋ /n/</t>
  </si>
  <si>
    <t>ㄌ /l/</t>
  </si>
  <si>
    <t>舌齒音</t>
  </si>
  <si>
    <t>ㄗ /ʦ/</t>
  </si>
  <si>
    <t>ㄘ /ʦʰ/</t>
  </si>
  <si>
    <t>ㆡ /ʣ/</t>
  </si>
  <si>
    <t>ㄙ /s/</t>
  </si>
  <si>
    <t>齦顎音</t>
  </si>
  <si>
    <t>ㄐ /ʨ/</t>
  </si>
  <si>
    <t>ㄑ /ʨʰ/</t>
  </si>
  <si>
    <t>ㆢ /ʥ/</t>
  </si>
  <si>
    <t>ㄒ /ɕ/</t>
  </si>
  <si>
    <t>舌根音</t>
  </si>
  <si>
    <t>ㄍ /k/</t>
  </si>
  <si>
    <t>ㄎ /kʰ/</t>
  </si>
  <si>
    <t>ㆣ /g/</t>
  </si>
  <si>
    <t>ㄫ /ŋ/</t>
  </si>
  <si>
    <t>喉音</t>
  </si>
  <si>
    <t>ㄏ /h/</t>
  </si>
  <si>
    <t>按鍵</t>
    <phoneticPr fontId="1" type="noConversion"/>
  </si>
  <si>
    <t>:</t>
    <phoneticPr fontId="1" type="noConversion"/>
  </si>
  <si>
    <t>[</t>
    <phoneticPr fontId="1" type="noConversion"/>
  </si>
  <si>
    <t>]</t>
    <phoneticPr fontId="1" type="noConversion"/>
  </si>
  <si>
    <t>輕聲</t>
    <phoneticPr fontId="1" type="noConversion"/>
  </si>
  <si>
    <t>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</si>
</sst>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6"/>
      <color theme="1"/>
      <name val="Noto Sans TC Medium"/>
      <family val="2"/>
      <charset val="136"/>
    </font>
    <font>
      <sz val="9"/>
      <name val="Noto Sans TC Medium"/>
      <family val="2"/>
      <charset val="136"/>
    </font>
    <font>
      <b/>
      <sz val="12"/>
      <color rgb="FF0C0301"/>
      <name val="Arial"/>
      <family val="2"/>
    </font>
    <font>
      <sz val="12"/>
      <color rgb="FF0C0301"/>
      <name val="Arial"/>
      <family val="2"/>
    </font>
    <font>
      <u/>
      <sz val="16"/>
      <color theme="10"/>
      <name val="Noto Sans TC Medium"/>
      <family val="2"/>
      <charset val="136"/>
    </font>
    <font>
      <sz val="24"/>
      <color rgb="FF0C0301"/>
      <name val="Huninn"/>
      <family val="2"/>
    </font>
    <font>
      <sz val="24"/>
      <color rgb="FF0C0301"/>
      <name val="Arial"/>
      <family val="2"/>
    </font>
    <font>
      <u/>
      <sz val="16"/>
      <color theme="10"/>
      <name val="Noto Sans TC Medium"/>
      <family val="2"/>
    </font>
    <font>
      <b/>
      <sz val="20"/>
      <color rgb="FF0C0301"/>
      <name val="Arial"/>
      <family val="2"/>
    </font>
    <font>
      <sz val="20"/>
      <color rgb="FF0C0301"/>
      <name val="Arial"/>
      <family val="2"/>
    </font>
    <font>
      <sz val="16"/>
      <color theme="1"/>
      <name val="Noto Sans TC Medium"/>
      <family val="2"/>
      <charset val="254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777777"/>
      </left>
      <right style="thin">
        <color rgb="FF777777"/>
      </right>
      <top style="thin">
        <color rgb="FF777777"/>
      </top>
      <bottom style="thin">
        <color rgb="FF77777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77777"/>
      </left>
      <right style="thin">
        <color rgb="FF777777"/>
      </right>
      <top/>
      <bottom style="thin">
        <color rgb="FF777777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2" borderId="2" xfId="0" applyFill="1" applyBorder="1">
      <alignment vertical="center"/>
    </xf>
    <xf numFmtId="0" fontId="0" fillId="2" borderId="2" xfId="0" quotePrefix="1" applyFill="1" applyBorder="1" applyAlignment="1">
      <alignment horizontal="center" vertical="center"/>
    </xf>
    <xf numFmtId="0" fontId="5" fillId="0" borderId="0" xfId="0" applyFont="1" applyAlignment="1">
      <alignment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4" fillId="0" borderId="0" xfId="1" applyAlignment="1">
      <alignment vertical="center" wrapText="1"/>
    </xf>
    <xf numFmtId="0" fontId="4" fillId="3" borderId="1" xfId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4" fillId="3" borderId="1" xfId="1" applyFill="1" applyBorder="1" applyAlignment="1">
      <alignment horizontal="left" vertical="top" wrapText="1"/>
    </xf>
    <xf numFmtId="0" fontId="3" fillId="3" borderId="1" xfId="0" applyFont="1" applyFill="1" applyBorder="1" applyAlignment="1">
      <alignment vertical="top" wrapText="1"/>
    </xf>
    <xf numFmtId="0" fontId="9" fillId="3" borderId="1" xfId="0" applyFont="1" applyFill="1" applyBorder="1" applyAlignment="1">
      <alignment horizontal="center" vertical="top" wrapText="1"/>
    </xf>
    <xf numFmtId="0" fontId="4" fillId="3" borderId="1" xfId="1" applyFill="1" applyBorder="1" applyAlignment="1">
      <alignment horizontal="center" vertical="center" wrapText="1"/>
    </xf>
    <xf numFmtId="0" fontId="8" fillId="3" borderId="1" xfId="0" quotePrefix="1" applyFont="1" applyFill="1" applyBorder="1" applyAlignment="1">
      <alignment horizontal="center" vertical="top" wrapText="1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3" fillId="3" borderId="1" xfId="0" applyFont="1" applyFill="1" applyBorder="1" applyAlignment="1">
      <alignment horizontal="left" vertical="center" wrapText="1"/>
    </xf>
    <xf numFmtId="0" fontId="2" fillId="3" borderId="1" xfId="0" quotePrefix="1" applyFont="1" applyFill="1" applyBorder="1" applyAlignment="1">
      <alignment horizontal="center" vertical="center" wrapText="1"/>
    </xf>
    <xf numFmtId="0" fontId="2" fillId="3" borderId="1" xfId="0" quotePrefix="1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/>
    </xf>
    <xf numFmtId="0" fontId="2" fillId="2" borderId="2" xfId="0" quotePrefix="1" applyFont="1" applyFill="1" applyBorder="1" applyAlignment="1">
      <alignment horizontal="center" vertical="center" wrapText="1"/>
    </xf>
    <xf numFmtId="0" fontId="2" fillId="2" borderId="0" xfId="0" quotePrefix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zi-hi.com/sp/uni/02CA" TargetMode="External"/><Relationship Id="rId3" Type="http://schemas.openxmlformats.org/officeDocument/2006/relationships/hyperlink" Target="https://zi-hi.com/sp/uni/31BB" TargetMode="External"/><Relationship Id="rId7" Type="http://schemas.openxmlformats.org/officeDocument/2006/relationships/hyperlink" Target="https://zi-hi.com/sp/uni/02EA" TargetMode="External"/><Relationship Id="rId2" Type="http://schemas.openxmlformats.org/officeDocument/2006/relationships/hyperlink" Target="https://zi-hi.com/Unicode" TargetMode="External"/><Relationship Id="rId1" Type="http://schemas.openxmlformats.org/officeDocument/2006/relationships/hyperlink" Target="https://zi-hi.com/Unicode" TargetMode="External"/><Relationship Id="rId6" Type="http://schemas.openxmlformats.org/officeDocument/2006/relationships/hyperlink" Target="https://zi-hi.com/sp/uni/02CB" TargetMode="External"/><Relationship Id="rId5" Type="http://schemas.openxmlformats.org/officeDocument/2006/relationships/hyperlink" Target="https://zi-hi.com/sp/uni/02D9" TargetMode="External"/><Relationship Id="rId10" Type="http://schemas.openxmlformats.org/officeDocument/2006/relationships/hyperlink" Target="https://zi-hi.com/sp/uni/02D9" TargetMode="External"/><Relationship Id="rId4" Type="http://schemas.openxmlformats.org/officeDocument/2006/relationships/hyperlink" Target="https://zi-hi.com/Unicode" TargetMode="External"/><Relationship Id="rId9" Type="http://schemas.openxmlformats.org/officeDocument/2006/relationships/hyperlink" Target="https://zi-hi.com/sp/uni/02E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24B5C-5D60-4B58-B19B-0781BD786D8F}">
  <dimension ref="B2:AF99"/>
  <sheetViews>
    <sheetView topLeftCell="B1" workbookViewId="0">
      <selection activeCell="V4" sqref="V4:V6"/>
    </sheetView>
  </sheetViews>
  <sheetFormatPr defaultRowHeight="25.5" outlineLevelRow="1" outlineLevelCol="1"/>
  <cols>
    <col min="4" max="20" width="8.6640625" customWidth="1" outlineLevel="1"/>
  </cols>
  <sheetData>
    <row r="2" spans="2:32">
      <c r="B2" t="s">
        <v>0</v>
      </c>
    </row>
    <row r="4" spans="2:32">
      <c r="B4" s="3"/>
      <c r="C4" s="4" t="s">
        <v>1</v>
      </c>
      <c r="D4" s="3" t="s">
        <v>2</v>
      </c>
      <c r="E4" s="3" t="s">
        <v>3</v>
      </c>
      <c r="F4" s="3" t="s">
        <v>4</v>
      </c>
      <c r="G4" s="3" t="s">
        <v>5</v>
      </c>
      <c r="H4" s="3" t="s">
        <v>6</v>
      </c>
      <c r="I4" s="3" t="s">
        <v>7</v>
      </c>
      <c r="J4" s="3" t="s">
        <v>8</v>
      </c>
      <c r="K4" s="3" t="s">
        <v>9</v>
      </c>
      <c r="L4" s="3" t="s">
        <v>10</v>
      </c>
      <c r="M4" s="3" t="s">
        <v>11</v>
      </c>
      <c r="N4" s="3" t="s">
        <v>12</v>
      </c>
      <c r="O4" s="3" t="s">
        <v>13</v>
      </c>
      <c r="P4" s="3" t="s">
        <v>14</v>
      </c>
      <c r="Q4" s="3" t="s">
        <v>15</v>
      </c>
      <c r="R4" s="3" t="s">
        <v>16</v>
      </c>
      <c r="S4" s="3" t="s">
        <v>17</v>
      </c>
      <c r="T4" s="3" t="s">
        <v>18</v>
      </c>
      <c r="V4" t="str">
        <f xml:space="preserve"> _xlfn.TEXTJOIN("|",FALSE,B4:T4)</f>
        <v>|Ø|h|p|pʰ|b|m|t|tʰ|n|l|ʦ/ʨ|ʦʰ/ʨʰ|ʣ/ʥ|s/ɕ|k|kʰ|g|ŋ</v>
      </c>
      <c r="AF4" t="str">
        <f xml:space="preserve"> _xlfn.CONCAT("|", V4, "|")</f>
        <v>||Ø|h|p|pʰ|b|m|t|tʰ|n|l|ʦ/ʨ|ʦʰ/ʨʰ|ʣ/ʥ|s/ɕ|k|kʰ|g|ŋ|</v>
      </c>
    </row>
    <row r="5" spans="2:32" outlineLevel="1">
      <c r="B5" s="7" t="s">
        <v>980</v>
      </c>
      <c r="C5" s="7" t="s">
        <v>980</v>
      </c>
      <c r="D5" s="7" t="s">
        <v>980</v>
      </c>
      <c r="E5" s="7" t="s">
        <v>980</v>
      </c>
      <c r="F5" s="7" t="s">
        <v>980</v>
      </c>
      <c r="G5" s="7" t="s">
        <v>980</v>
      </c>
      <c r="H5" s="7" t="s">
        <v>980</v>
      </c>
      <c r="I5" s="7" t="s">
        <v>980</v>
      </c>
      <c r="J5" s="7" t="s">
        <v>980</v>
      </c>
      <c r="K5" s="7" t="s">
        <v>980</v>
      </c>
      <c r="L5" s="7" t="s">
        <v>980</v>
      </c>
      <c r="M5" s="7" t="s">
        <v>980</v>
      </c>
      <c r="N5" s="7" t="s">
        <v>980</v>
      </c>
      <c r="O5" s="7" t="s">
        <v>980</v>
      </c>
      <c r="P5" s="7" t="s">
        <v>980</v>
      </c>
      <c r="Q5" s="7" t="s">
        <v>980</v>
      </c>
      <c r="R5" s="7" t="s">
        <v>980</v>
      </c>
      <c r="S5" s="7" t="s">
        <v>980</v>
      </c>
      <c r="T5" s="7" t="s">
        <v>980</v>
      </c>
      <c r="V5" t="str">
        <f xml:space="preserve"> _xlfn.TEXTJOIN("|",FALSE,B5:T5)</f>
        <v>------|------|------|------|------|------|------|------|------|------|------|------|------|------|------|------|------|------|------</v>
      </c>
      <c r="AF5" t="str">
        <f xml:space="preserve"> _xlfn.CONCAT("|", V5, "|")</f>
        <v>|------|------|------|------|------|------|------|------|------|------|------|------|------|------|------|------|------|------|------|</v>
      </c>
    </row>
    <row r="6" spans="2:32">
      <c r="B6" s="6" t="s">
        <v>19</v>
      </c>
      <c r="C6" s="5" t="s">
        <v>20</v>
      </c>
      <c r="D6" s="5" t="s">
        <v>21</v>
      </c>
      <c r="E6" s="5" t="s">
        <v>22</v>
      </c>
      <c r="F6" s="5" t="s">
        <v>23</v>
      </c>
      <c r="G6" s="5" t="s">
        <v>24</v>
      </c>
      <c r="H6" s="5" t="s">
        <v>25</v>
      </c>
      <c r="I6" s="5" t="s">
        <v>26</v>
      </c>
      <c r="J6" s="5" t="s">
        <v>27</v>
      </c>
      <c r="K6" s="5" t="s">
        <v>28</v>
      </c>
      <c r="L6" s="5" t="s">
        <v>29</v>
      </c>
      <c r="M6" s="5" t="s">
        <v>30</v>
      </c>
      <c r="N6" s="5" t="s">
        <v>31</v>
      </c>
      <c r="O6" s="5"/>
      <c r="P6" s="5" t="s">
        <v>32</v>
      </c>
      <c r="Q6" s="5" t="s">
        <v>33</v>
      </c>
      <c r="R6" s="5" t="s">
        <v>34</v>
      </c>
      <c r="S6" s="5" t="s">
        <v>35</v>
      </c>
      <c r="T6" s="5" t="s">
        <v>36</v>
      </c>
      <c r="V6" t="str">
        <f xml:space="preserve"> _xlfn.TEXTJOIN("|",FALSE,B6:T6)</f>
        <v>a|ㄚ|ㄏㄚ|ㄅㄚ|ㄆㄚ|ㆠㄚ|ㄇㄚ|ㄉㄚ|ㄊㄚ|ㄋㄚ|ㄌㄚ|ㄗㄚ|ㄘㄚ||ㄙㄚ|ㄍㄚ|ㄎㄚ|ㆣㄚ|ㄫㄚ</v>
      </c>
      <c r="AF6" t="str">
        <f t="shared" ref="AF6:AF69" si="0" xml:space="preserve"> _xlfn.CONCAT("|", V6, "|")</f>
        <v>|a|ㄚ|ㄏㄚ|ㄅㄚ|ㄆㄚ|ㆠㄚ|ㄇㄚ|ㄉㄚ|ㄊㄚ|ㄋㄚ|ㄌㄚ|ㄗㄚ|ㄘㄚ||ㄙㄚ|ㄍㄚ|ㄎㄚ|ㆣㄚ|ㄫㄚ|</v>
      </c>
    </row>
    <row r="7" spans="2:32">
      <c r="B7" s="6" t="s">
        <v>37</v>
      </c>
      <c r="C7" s="5" t="s">
        <v>38</v>
      </c>
      <c r="D7" s="5" t="s">
        <v>39</v>
      </c>
      <c r="E7" s="5"/>
      <c r="F7" s="5" t="s">
        <v>40</v>
      </c>
      <c r="G7" s="5"/>
      <c r="H7" s="5"/>
      <c r="I7" s="5" t="s">
        <v>41</v>
      </c>
      <c r="J7" s="5" t="s">
        <v>42</v>
      </c>
      <c r="K7" s="5"/>
      <c r="L7" s="5"/>
      <c r="M7" s="5" t="s">
        <v>43</v>
      </c>
      <c r="N7" s="5" t="s">
        <v>44</v>
      </c>
      <c r="O7" s="5"/>
      <c r="P7" s="5" t="s">
        <v>45</v>
      </c>
      <c r="Q7" s="5" t="s">
        <v>46</v>
      </c>
      <c r="R7" s="5" t="s">
        <v>47</v>
      </c>
      <c r="S7" s="5"/>
      <c r="T7" s="5"/>
      <c r="V7" t="str">
        <f t="shared" ref="V7:V70" si="1" xml:space="preserve"> _xlfn.TEXTJOIN("|",FALSE,B7:T7)</f>
        <v>ã|ㆩ|ㄏㆩ||ㄆㆩ|||ㄉㆩ|ㄊㆩ|||ㄗㆩ|ㄘㆩ||ㄙㆩ|ㄍㆩ|ㄎㆩ||</v>
      </c>
      <c r="AF7" t="str">
        <f t="shared" si="0"/>
        <v>|ã|ㆩ|ㄏㆩ||ㄆㆩ|||ㄉㆩ|ㄊㆩ|||ㄗㆩ|ㄘㆩ||ㄙㆩ|ㄍㆩ|ㄎㆩ|||</v>
      </c>
    </row>
    <row r="8" spans="2:32">
      <c r="B8" s="6" t="s">
        <v>48</v>
      </c>
      <c r="C8" s="5" t="s">
        <v>49</v>
      </c>
      <c r="D8" s="5" t="s">
        <v>50</v>
      </c>
      <c r="E8" s="5" t="s">
        <v>51</v>
      </c>
      <c r="F8" s="5" t="s">
        <v>52</v>
      </c>
      <c r="G8" s="5" t="s">
        <v>53</v>
      </c>
      <c r="H8" s="5" t="s">
        <v>54</v>
      </c>
      <c r="I8" s="5" t="s">
        <v>55</v>
      </c>
      <c r="J8" s="5" t="s">
        <v>56</v>
      </c>
      <c r="K8" s="5" t="s">
        <v>57</v>
      </c>
      <c r="L8" s="5" t="s">
        <v>58</v>
      </c>
      <c r="M8" s="5" t="s">
        <v>59</v>
      </c>
      <c r="N8" s="5" t="s">
        <v>60</v>
      </c>
      <c r="O8" s="5"/>
      <c r="P8" s="5" t="s">
        <v>61</v>
      </c>
      <c r="Q8" s="5" t="s">
        <v>62</v>
      </c>
      <c r="R8" s="5" t="s">
        <v>63</v>
      </c>
      <c r="S8" s="5"/>
      <c r="T8" s="5"/>
      <c r="V8" t="str">
        <f t="shared" si="1"/>
        <v>aʔ|ㄚㆷ|ㄏㄚㆷ|ㄅㄚㆷ|ㄆㄚㆷ|ㆠㄚㆷ|ㄇㄚㆷ|ㄉㄚㆷ|ㄊㄚㆷ|ㄋㄚㆷ|ㄌㄚㆷ|ㄗㄚㆷ|ㄘㄚㆷ||ㄙㄚㆷ|ㄍㄚㆷ|ㄎㄚㆷ||</v>
      </c>
      <c r="AF8" t="str">
        <f t="shared" si="0"/>
        <v>|aʔ|ㄚㆷ|ㄏㄚㆷ|ㄅㄚㆷ|ㄆㄚㆷ|ㆠㄚㆷ|ㄇㄚㆷ|ㄉㄚㆷ|ㄊㄚㆷ|ㄋㄚㆷ|ㄌㄚㆷ|ㄗㄚㆷ|ㄘㄚㆷ||ㄙㄚㆷ|ㄍㄚㆷ|ㄎㄚㆷ|||</v>
      </c>
    </row>
    <row r="9" spans="2:32">
      <c r="B9" s="6" t="s">
        <v>64</v>
      </c>
      <c r="C9" s="5" t="s">
        <v>65</v>
      </c>
      <c r="D9" s="5" t="s">
        <v>66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 t="s">
        <v>67</v>
      </c>
      <c r="Q9" s="5"/>
      <c r="R9" s="5"/>
      <c r="S9" s="5"/>
      <c r="T9" s="5"/>
      <c r="V9" t="str">
        <f t="shared" si="1"/>
        <v>ãʔ|ㆩㆷ|ㄏㆩㆷ||||||||||||ㄙㆩㆷ||||</v>
      </c>
      <c r="AF9" t="str">
        <f t="shared" si="0"/>
        <v>|ãʔ|ㆩㆷ|ㄏㆩㆷ||||||||||||ㄙㆩㆷ|||||</v>
      </c>
    </row>
    <row r="10" spans="2:32">
      <c r="B10" s="6" t="s">
        <v>68</v>
      </c>
      <c r="C10" s="5" t="s">
        <v>69</v>
      </c>
      <c r="D10" s="5" t="s">
        <v>70</v>
      </c>
      <c r="E10" s="5"/>
      <c r="F10" s="5"/>
      <c r="G10" s="5"/>
      <c r="H10" s="5"/>
      <c r="I10" s="5" t="s">
        <v>71</v>
      </c>
      <c r="J10" s="5" t="s">
        <v>72</v>
      </c>
      <c r="K10" s="5"/>
      <c r="L10" s="5" t="s">
        <v>73</v>
      </c>
      <c r="M10" s="5" t="s">
        <v>74</v>
      </c>
      <c r="N10" s="5" t="s">
        <v>75</v>
      </c>
      <c r="O10" s="5"/>
      <c r="P10" s="5" t="s">
        <v>76</v>
      </c>
      <c r="Q10" s="5" t="s">
        <v>77</v>
      </c>
      <c r="R10" s="5" t="s">
        <v>78</v>
      </c>
      <c r="S10" s="5" t="s">
        <v>79</v>
      </c>
      <c r="T10" s="5"/>
      <c r="V10" t="str">
        <f t="shared" si="1"/>
        <v>am|ㆰ|ㄏㆰ|||||ㄉㆰ|ㄊㆰ||ㄌㆰ|ㄗㆰ|ㄘㆰ||ㄙㆰ|ㄍㆰ|ㄎㆰ|ㆣㆰ|</v>
      </c>
      <c r="AF10" t="str">
        <f t="shared" si="0"/>
        <v>|am|ㆰ|ㄏㆰ|||||ㄉㆰ|ㄊㆰ||ㄌㆰ|ㄗㆰ|ㄘㆰ||ㄙㆰ|ㄍㆰ|ㄎㆰ|ㆣㆰ||</v>
      </c>
    </row>
    <row r="11" spans="2:32">
      <c r="B11" s="6" t="s">
        <v>80</v>
      </c>
      <c r="C11" s="5" t="s">
        <v>81</v>
      </c>
      <c r="D11" s="5" t="s">
        <v>82</v>
      </c>
      <c r="E11" s="5" t="s">
        <v>83</v>
      </c>
      <c r="F11" s="5" t="s">
        <v>84</v>
      </c>
      <c r="G11" s="5" t="s">
        <v>85</v>
      </c>
      <c r="H11" s="5"/>
      <c r="I11" s="5" t="s">
        <v>86</v>
      </c>
      <c r="J11" s="5" t="s">
        <v>87</v>
      </c>
      <c r="K11" s="5"/>
      <c r="L11" s="5" t="s">
        <v>88</v>
      </c>
      <c r="M11" s="5" t="s">
        <v>89</v>
      </c>
      <c r="N11" s="5" t="s">
        <v>90</v>
      </c>
      <c r="O11" s="5"/>
      <c r="P11" s="5" t="s">
        <v>91</v>
      </c>
      <c r="Q11" s="5" t="s">
        <v>92</v>
      </c>
      <c r="R11" s="5" t="s">
        <v>93</v>
      </c>
      <c r="S11" s="5" t="s">
        <v>94</v>
      </c>
      <c r="T11" s="5"/>
      <c r="V11" t="str">
        <f t="shared" si="1"/>
        <v>an|ㄢ|ㄏㄢ|ㄅㄢ|ㄆㄢ|ㆠㄢ||ㄉㄢ|ㄊㄢ||ㄌㄢ|ㄗㄢ|ㄘㄢ||ㄙㄢ|ㄍㄢ|ㄎㄢ|ㆣㄢ|</v>
      </c>
      <c r="AF11" t="str">
        <f t="shared" si="0"/>
        <v>|an|ㄢ|ㄏㄢ|ㄅㄢ|ㄆㄢ|ㆠㄢ||ㄉㄢ|ㄊㄢ||ㄌㄢ|ㄗㄢ|ㄘㄢ||ㄙㄢ|ㄍㄢ|ㄎㄢ|ㆣㄢ||</v>
      </c>
    </row>
    <row r="12" spans="2:32">
      <c r="B12" s="6" t="s">
        <v>95</v>
      </c>
      <c r="C12" s="5" t="s">
        <v>96</v>
      </c>
      <c r="D12" s="5" t="s">
        <v>97</v>
      </c>
      <c r="E12" s="5" t="s">
        <v>98</v>
      </c>
      <c r="F12" s="5" t="s">
        <v>99</v>
      </c>
      <c r="G12" s="5" t="s">
        <v>100</v>
      </c>
      <c r="H12" s="5"/>
      <c r="I12" s="5" t="s">
        <v>101</v>
      </c>
      <c r="J12" s="5" t="s">
        <v>102</v>
      </c>
      <c r="K12" s="5"/>
      <c r="L12" s="5" t="s">
        <v>103</v>
      </c>
      <c r="M12" s="5" t="s">
        <v>104</v>
      </c>
      <c r="N12" s="5" t="s">
        <v>105</v>
      </c>
      <c r="O12" s="5"/>
      <c r="P12" s="5" t="s">
        <v>106</v>
      </c>
      <c r="Q12" s="5" t="s">
        <v>107</v>
      </c>
      <c r="R12" s="5" t="s">
        <v>108</v>
      </c>
      <c r="S12" s="5" t="s">
        <v>109</v>
      </c>
      <c r="T12" s="5"/>
      <c r="V12" t="str">
        <f t="shared" si="1"/>
        <v>aŋ|ㄤ|ㄏㄤ|ㄅㄤ|ㄆㄤ|ㆠㄤ||ㄉㄤ|ㄊㄤ||ㄌㄤ|ㄗㄤ|ㄘㄤ||ㄙㄤ|ㄍㄤ|ㄎㄤ|ㆣㄤ|</v>
      </c>
      <c r="AF12" t="str">
        <f t="shared" si="0"/>
        <v>|aŋ|ㄤ|ㄏㄤ|ㄅㄤ|ㄆㄤ|ㆠㄤ||ㄉㄤ|ㄊㄤ||ㄌㄤ|ㄗㄤ|ㄘㄤ||ㄙㄤ|ㄍㄤ|ㄎㄤ|ㆣㄤ||</v>
      </c>
    </row>
    <row r="13" spans="2:32">
      <c r="B13" s="6" t="s">
        <v>110</v>
      </c>
      <c r="C13" s="5" t="s">
        <v>111</v>
      </c>
      <c r="D13" s="5" t="s">
        <v>112</v>
      </c>
      <c r="E13" s="5"/>
      <c r="F13" s="5"/>
      <c r="G13" s="5"/>
      <c r="H13" s="5"/>
      <c r="I13" s="5" t="s">
        <v>113</v>
      </c>
      <c r="J13" s="5" t="s">
        <v>114</v>
      </c>
      <c r="K13" s="5"/>
      <c r="L13" s="5" t="s">
        <v>115</v>
      </c>
      <c r="M13" s="5" t="s">
        <v>116</v>
      </c>
      <c r="N13" s="5" t="s">
        <v>117</v>
      </c>
      <c r="O13" s="5"/>
      <c r="P13" s="5" t="s">
        <v>118</v>
      </c>
      <c r="Q13" s="5" t="s">
        <v>119</v>
      </c>
      <c r="R13" s="5" t="s">
        <v>120</v>
      </c>
      <c r="S13" s="5"/>
      <c r="T13" s="5"/>
      <c r="V13" t="str">
        <f t="shared" si="1"/>
        <v>ap̚|ㄚㆴ|ㄏㄚㆴ|||||ㄉㄚㆴ|ㄊㄚㆴ||ㄌㄚㆴ|ㄗㄚㆴ|ㄘㄚㆴ||ㄙㄚㆴ|ㄍㄚㆴ|ㄎㄚㆴ||</v>
      </c>
      <c r="AF13" t="str">
        <f t="shared" si="0"/>
        <v>|ap̚|ㄚㆴ|ㄏㄚㆴ|||||ㄉㄚㆴ|ㄊㄚㆴ||ㄌㄚㆴ|ㄗㄚㆴ|ㄘㄚㆴ||ㄙㄚㆴ|ㄍㄚㆴ|ㄎㄚㆴ|||</v>
      </c>
    </row>
    <row r="14" spans="2:32">
      <c r="B14" s="6" t="s">
        <v>121</v>
      </c>
      <c r="C14" s="5" t="s">
        <v>122</v>
      </c>
      <c r="D14" s="5" t="s">
        <v>123</v>
      </c>
      <c r="E14" s="5" t="s">
        <v>124</v>
      </c>
      <c r="F14" s="5" t="s">
        <v>125</v>
      </c>
      <c r="G14" s="5" t="s">
        <v>126</v>
      </c>
      <c r="H14" s="5"/>
      <c r="I14" s="5" t="s">
        <v>127</v>
      </c>
      <c r="J14" s="5" t="s">
        <v>128</v>
      </c>
      <c r="K14" s="5"/>
      <c r="L14" s="5" t="s">
        <v>129</v>
      </c>
      <c r="M14" s="5" t="s">
        <v>130</v>
      </c>
      <c r="N14" s="5" t="s">
        <v>131</v>
      </c>
      <c r="O14" s="5"/>
      <c r="P14" s="5" t="s">
        <v>132</v>
      </c>
      <c r="Q14" s="5" t="s">
        <v>133</v>
      </c>
      <c r="R14" s="5" t="s">
        <v>134</v>
      </c>
      <c r="S14" s="5"/>
      <c r="T14" s="5"/>
      <c r="V14" t="str">
        <f t="shared" si="1"/>
        <v>at̚|ㄚㆵ|ㄏㄚㆵ|ㄅㄚㆵ|ㄆㄚㆵ|ㆠㄚㆵ||ㄉㄚㆵ|ㄊㄚㆵ||ㄌㄚㆵ|ㄗㄚㆵ|ㄘㄚㆵ||ㄙㄚㆵ|ㄍㄚㆵ|ㄎㄚㆵ||</v>
      </c>
      <c r="AF14" t="str">
        <f t="shared" si="0"/>
        <v>|at̚|ㄚㆵ|ㄏㄚㆵ|ㄅㄚㆵ|ㄆㄚㆵ|ㆠㄚㆵ||ㄉㄚㆵ|ㄊㄚㆵ||ㄌㄚㆵ|ㄗㄚㆵ|ㄘㄚㆵ||ㄙㄚㆵ|ㄍㄚㆵ|ㄎㄚㆵ|||</v>
      </c>
    </row>
    <row r="15" spans="2:32">
      <c r="B15" s="6" t="s">
        <v>135</v>
      </c>
      <c r="C15" s="5" t="s">
        <v>136</v>
      </c>
      <c r="D15" s="5" t="s">
        <v>137</v>
      </c>
      <c r="E15" s="5" t="s">
        <v>138</v>
      </c>
      <c r="F15" s="5" t="s">
        <v>139</v>
      </c>
      <c r="G15" s="5" t="s">
        <v>140</v>
      </c>
      <c r="H15" s="5"/>
      <c r="I15" s="5" t="s">
        <v>141</v>
      </c>
      <c r="J15" s="5" t="s">
        <v>142</v>
      </c>
      <c r="K15" s="5"/>
      <c r="L15" s="5" t="s">
        <v>143</v>
      </c>
      <c r="M15" s="5" t="s">
        <v>144</v>
      </c>
      <c r="N15" s="5" t="s">
        <v>145</v>
      </c>
      <c r="O15" s="5"/>
      <c r="P15" s="5" t="s">
        <v>146</v>
      </c>
      <c r="Q15" s="5" t="s">
        <v>147</v>
      </c>
      <c r="R15" s="5" t="s">
        <v>148</v>
      </c>
      <c r="S15" s="5" t="s">
        <v>149</v>
      </c>
      <c r="T15" s="5"/>
      <c r="V15" t="str">
        <f t="shared" si="1"/>
        <v>ak̚|ㄚㆻ|ㄏㄚㆻ|ㄅㄚㆻ|ㄆㄚㆻ|ㆠㄚㆻ||ㄉㄚㆻ|ㄊㄚㆻ||ㄌㄚㆻ|ㄗㄚㆻ|ㄘㄚㆻ||ㄙㄚㆻ|ㄍㄚㆻ|ㄎㄚㆻ|ㆣㄚㆻ|</v>
      </c>
      <c r="AF15" t="str">
        <f t="shared" si="0"/>
        <v>|ak̚|ㄚㆻ|ㄏㄚㆻ|ㄅㄚㆻ|ㄆㄚㆻ|ㆠㄚㆻ||ㄉㄚㆻ|ㄊㄚㆻ||ㄌㄚㆻ|ㄗㄚㆻ|ㄘㄚㆻ||ㄙㄚㆻ|ㄍㄚㆻ|ㄎㄚㆻ|ㆣㄚㆻ||</v>
      </c>
    </row>
    <row r="16" spans="2:32">
      <c r="B16" s="6" t="s">
        <v>150</v>
      </c>
      <c r="C16" s="5" t="s">
        <v>151</v>
      </c>
      <c r="D16" s="5" t="s">
        <v>152</v>
      </c>
      <c r="E16" s="5" t="s">
        <v>153</v>
      </c>
      <c r="F16" s="5" t="s">
        <v>154</v>
      </c>
      <c r="G16" s="5" t="s">
        <v>155</v>
      </c>
      <c r="H16" s="5" t="s">
        <v>156</v>
      </c>
      <c r="I16" s="5" t="s">
        <v>157</v>
      </c>
      <c r="J16" s="5" t="s">
        <v>158</v>
      </c>
      <c r="K16" s="5" t="s">
        <v>159</v>
      </c>
      <c r="L16" s="5" t="s">
        <v>160</v>
      </c>
      <c r="M16" s="5" t="s">
        <v>161</v>
      </c>
      <c r="N16" s="5" t="s">
        <v>162</v>
      </c>
      <c r="O16" s="5"/>
      <c r="P16" s="5" t="s">
        <v>163</v>
      </c>
      <c r="Q16" s="5" t="s">
        <v>164</v>
      </c>
      <c r="R16" s="5" t="s">
        <v>165</v>
      </c>
      <c r="S16" s="5" t="s">
        <v>166</v>
      </c>
      <c r="T16" s="5" t="s">
        <v>167</v>
      </c>
      <c r="V16" t="str">
        <f t="shared" si="1"/>
        <v>aɪ|ㄞ|ㄏㄞ|ㄅㄞ|ㄆㄞ|ㆠㄞ|ㄇㄞ|ㄉㄞ|ㄊㄞ|ㄋㄞ|ㄌㄞ|ㄗㄞ|ㄘㄞ||ㄙㄞ|ㄍㄞ|ㄎㄞ|ㆣㄞ|ㄫㄞ</v>
      </c>
      <c r="AF16" t="str">
        <f t="shared" si="0"/>
        <v>|aɪ|ㄞ|ㄏㄞ|ㄅㄞ|ㄆㄞ|ㆠㄞ|ㄇㄞ|ㄉㄞ|ㄊㄞ|ㄋㄞ|ㄌㄞ|ㄗㄞ|ㄘㄞ||ㄙㄞ|ㄍㄞ|ㄎㄞ|ㆣㄞ|ㄫㄞ|</v>
      </c>
    </row>
    <row r="17" spans="2:32">
      <c r="B17" s="6" t="s">
        <v>168</v>
      </c>
      <c r="C17" s="5" t="s">
        <v>169</v>
      </c>
      <c r="D17" s="5" t="s">
        <v>170</v>
      </c>
      <c r="E17" s="5"/>
      <c r="F17" s="5" t="s">
        <v>171</v>
      </c>
      <c r="G17" s="5"/>
      <c r="H17" s="5"/>
      <c r="I17" s="5" t="s">
        <v>172</v>
      </c>
      <c r="J17" s="5"/>
      <c r="K17" s="5"/>
      <c r="L17" s="5"/>
      <c r="M17" s="5" t="s">
        <v>173</v>
      </c>
      <c r="N17" s="5"/>
      <c r="O17" s="5"/>
      <c r="P17" s="5"/>
      <c r="Q17" s="5" t="s">
        <v>174</v>
      </c>
      <c r="R17" s="5" t="s">
        <v>175</v>
      </c>
      <c r="S17" s="5"/>
      <c r="T17" s="5"/>
      <c r="V17" t="str">
        <f t="shared" si="1"/>
        <v>ãɪ|ㆮ|ㄏㆮ||ㄆㆮ|||ㄉㆮ||||ㄗㆮ||||ㄍㆮ|ㄎㆮ||</v>
      </c>
      <c r="AF17" t="str">
        <f t="shared" si="0"/>
        <v>|ãɪ|ㆮ|ㄏㆮ||ㄆㆮ|||ㄉㆮ||||ㄗㆮ||||ㄍㆮ|ㄎㆮ|||</v>
      </c>
    </row>
    <row r="18" spans="2:32">
      <c r="B18" s="6" t="s">
        <v>176</v>
      </c>
      <c r="C18" s="5" t="s">
        <v>177</v>
      </c>
      <c r="D18" s="5" t="s">
        <v>178</v>
      </c>
      <c r="E18" s="5"/>
      <c r="F18" s="5"/>
      <c r="G18" s="5"/>
      <c r="H18" s="5"/>
      <c r="I18" s="5"/>
      <c r="J18" s="5"/>
      <c r="K18" s="5"/>
      <c r="L18" s="5" t="s">
        <v>179</v>
      </c>
      <c r="M18" s="5"/>
      <c r="N18" s="5"/>
      <c r="O18" s="5"/>
      <c r="P18" s="5" t="s">
        <v>180</v>
      </c>
      <c r="Q18" s="5"/>
      <c r="R18" s="5"/>
      <c r="S18" s="5"/>
      <c r="T18" s="5"/>
      <c r="V18" t="str">
        <f t="shared" si="1"/>
        <v>aɪʔ|ㄞㆷ|ㄏㄞㆷ||||||||ㄌㄞㆷ||||ㄙㄞㆷ||||</v>
      </c>
      <c r="AF18" t="str">
        <f t="shared" si="0"/>
        <v>|aɪʔ|ㄞㆷ|ㄏㄞㆷ||||||||ㄌㄞㆷ||||ㄙㄞㆷ|||||</v>
      </c>
    </row>
    <row r="19" spans="2:32">
      <c r="B19" s="6" t="s">
        <v>181</v>
      </c>
      <c r="C19" s="5" t="s">
        <v>182</v>
      </c>
      <c r="D19" s="5" t="s">
        <v>183</v>
      </c>
      <c r="E19" s="5" t="s">
        <v>184</v>
      </c>
      <c r="F19" s="5" t="s">
        <v>185</v>
      </c>
      <c r="G19" s="5" t="s">
        <v>186</v>
      </c>
      <c r="H19" s="5" t="s">
        <v>187</v>
      </c>
      <c r="I19" s="5" t="s">
        <v>188</v>
      </c>
      <c r="J19" s="5" t="s">
        <v>189</v>
      </c>
      <c r="K19" s="5" t="s">
        <v>190</v>
      </c>
      <c r="L19" s="5" t="s">
        <v>191</v>
      </c>
      <c r="M19" s="5" t="s">
        <v>192</v>
      </c>
      <c r="N19" s="5" t="s">
        <v>193</v>
      </c>
      <c r="O19" s="5"/>
      <c r="P19" s="5" t="s">
        <v>194</v>
      </c>
      <c r="Q19" s="5" t="s">
        <v>195</v>
      </c>
      <c r="R19" s="5" t="s">
        <v>196</v>
      </c>
      <c r="S19" s="5" t="s">
        <v>197</v>
      </c>
      <c r="T19" s="5" t="s">
        <v>198</v>
      </c>
      <c r="V19" t="str">
        <f t="shared" si="1"/>
        <v>au|ㄠ|ㄏㄠ|ㄅㄠ|ㄆㄠ|ㆠㄠ|ㄇㄠ|ㄉㄠ|ㄊㄠ|ㄋㄠ|ㄌㄠ|ㄗㄠ|ㄘㄠ||ㄙㄠ|ㄍㄠ|ㄎㄠ|ㆣㄠ|ㄫㄠ</v>
      </c>
      <c r="AF19" t="str">
        <f t="shared" si="0"/>
        <v>|au|ㄠ|ㄏㄠ|ㄅㄠ|ㄆㄠ|ㆠㄠ|ㄇㄠ|ㄉㄠ|ㄊㄠ|ㄋㄠ|ㄌㄠ|ㄗㄠ|ㄘㄠ||ㄙㄠ|ㄍㄠ|ㄎㄠ|ㆣㄠ|ㄫㄠ|</v>
      </c>
    </row>
    <row r="20" spans="2:32">
      <c r="B20" s="6" t="s">
        <v>199</v>
      </c>
      <c r="C20" s="5" t="s">
        <v>200</v>
      </c>
      <c r="D20" s="5"/>
      <c r="E20" s="5"/>
      <c r="F20" s="5" t="s">
        <v>201</v>
      </c>
      <c r="G20" s="5"/>
      <c r="H20" s="5" t="s">
        <v>202</v>
      </c>
      <c r="I20" s="5" t="s">
        <v>203</v>
      </c>
      <c r="J20" s="5"/>
      <c r="K20" s="5" t="s">
        <v>204</v>
      </c>
      <c r="L20" s="5" t="s">
        <v>205</v>
      </c>
      <c r="M20" s="5"/>
      <c r="N20" s="5" t="s">
        <v>206</v>
      </c>
      <c r="O20" s="5"/>
      <c r="P20" s="5"/>
      <c r="Q20" s="5" t="s">
        <v>207</v>
      </c>
      <c r="R20" s="5"/>
      <c r="S20" s="5"/>
      <c r="T20" s="5" t="s">
        <v>208</v>
      </c>
      <c r="V20" t="str">
        <f t="shared" si="1"/>
        <v>auʔ|ㄠㆷ|||ㄆㄠㆷ||ㄇㄠㆷ|ㄉㄠㆷ||ㄋㄠㆷ|ㄌㄠㆷ||ㄘㄠㆷ|||ㄍㄠㆷ|||ㄫㄠㆷ</v>
      </c>
      <c r="AF20" t="str">
        <f t="shared" si="0"/>
        <v>|auʔ|ㄠㆷ|||ㄆㄠㆷ||ㄇㄠㆷ|ㄉㄠㆷ||ㄋㄠㆷ|ㄌㄠㆷ||ㄘㄠㆷ|||ㄍㄠㆷ|||ㄫㄠㆷ|</v>
      </c>
    </row>
    <row r="21" spans="2:32">
      <c r="B21" s="6"/>
      <c r="C21" s="5" t="s">
        <v>1</v>
      </c>
      <c r="D21" s="5" t="s">
        <v>2</v>
      </c>
      <c r="E21" s="5" t="s">
        <v>3</v>
      </c>
      <c r="F21" s="5" t="s">
        <v>4</v>
      </c>
      <c r="G21" s="5" t="s">
        <v>5</v>
      </c>
      <c r="H21" s="5" t="s">
        <v>6</v>
      </c>
      <c r="I21" s="5" t="s">
        <v>7</v>
      </c>
      <c r="J21" s="5" t="s">
        <v>8</v>
      </c>
      <c r="K21" s="5" t="s">
        <v>9</v>
      </c>
      <c r="L21" s="5" t="s">
        <v>10</v>
      </c>
      <c r="M21" s="5" t="s">
        <v>11</v>
      </c>
      <c r="N21" s="5" t="s">
        <v>12</v>
      </c>
      <c r="O21" s="5" t="s">
        <v>13</v>
      </c>
      <c r="P21" s="5" t="s">
        <v>14</v>
      </c>
      <c r="Q21" s="5" t="s">
        <v>15</v>
      </c>
      <c r="R21" s="5" t="s">
        <v>16</v>
      </c>
      <c r="S21" s="5" t="s">
        <v>17</v>
      </c>
      <c r="T21" s="5" t="s">
        <v>18</v>
      </c>
      <c r="V21" t="str">
        <f t="shared" si="1"/>
        <v>|Ø|h|p|pʰ|b|m|t|tʰ|n|l|ʦ/ʨ|ʦʰ/ʨʰ|ʣ/ʥ|s/ɕ|k|kʰ|g|ŋ</v>
      </c>
      <c r="AF21" t="str">
        <f t="shared" si="0"/>
        <v>||Ø|h|p|pʰ|b|m|t|tʰ|n|l|ʦ/ʨ|ʦʰ/ʨʰ|ʣ/ʥ|s/ɕ|k|kʰ|g|ŋ|</v>
      </c>
    </row>
    <row r="22" spans="2:32">
      <c r="B22" s="6" t="s">
        <v>209</v>
      </c>
      <c r="C22" s="5" t="s">
        <v>210</v>
      </c>
      <c r="D22" s="5" t="s">
        <v>211</v>
      </c>
      <c r="E22" s="5" t="s">
        <v>212</v>
      </c>
      <c r="F22" s="5" t="s">
        <v>213</v>
      </c>
      <c r="G22" s="5" t="s">
        <v>214</v>
      </c>
      <c r="H22" s="5" t="s">
        <v>215</v>
      </c>
      <c r="I22" s="5" t="s">
        <v>216</v>
      </c>
      <c r="J22" s="5" t="s">
        <v>217</v>
      </c>
      <c r="K22" s="5" t="s">
        <v>218</v>
      </c>
      <c r="L22" s="5" t="s">
        <v>219</v>
      </c>
      <c r="M22" s="5" t="s">
        <v>220</v>
      </c>
      <c r="N22" s="5" t="s">
        <v>221</v>
      </c>
      <c r="O22" s="5"/>
      <c r="P22" s="5" t="s">
        <v>222</v>
      </c>
      <c r="Q22" s="5" t="s">
        <v>223</v>
      </c>
      <c r="R22" s="5" t="s">
        <v>224</v>
      </c>
      <c r="S22" s="5" t="s">
        <v>225</v>
      </c>
      <c r="T22" s="5" t="s">
        <v>226</v>
      </c>
      <c r="V22" t="str">
        <f t="shared" si="1"/>
        <v>e|ㆤ|ㄏㆤ|ㄅㆤ|ㄆㆤ|ㆠㆤ|ㄇㆤ|ㄉㆤ|ㄊㆤ|ㄋㆤ|ㄌㆤ|ㄗㆤ|ㄘㆤ||ㄙㆤ|ㄍㆤ|ㄎㆤ|ㆣㆤ|ㄫㆤ</v>
      </c>
      <c r="AF22" t="str">
        <f t="shared" si="0"/>
        <v>|e|ㆤ|ㄏㆤ|ㄅㆤ|ㄆㆤ|ㆠㆤ|ㄇㆤ|ㄉㆤ|ㄊㆤ|ㄋㆤ|ㄌㆤ|ㄗㆤ|ㄘㆤ||ㄙㆤ|ㄍㆤ|ㄎㆤ|ㆣㆤ|ㄫㆤ|</v>
      </c>
    </row>
    <row r="23" spans="2:32">
      <c r="B23" s="6" t="s">
        <v>227</v>
      </c>
      <c r="C23" s="5" t="s">
        <v>228</v>
      </c>
      <c r="D23" s="5" t="s">
        <v>229</v>
      </c>
      <c r="E23" s="5" t="s">
        <v>230</v>
      </c>
      <c r="F23" s="5" t="s">
        <v>231</v>
      </c>
      <c r="G23" s="5"/>
      <c r="H23" s="5"/>
      <c r="I23" s="5" t="s">
        <v>232</v>
      </c>
      <c r="J23" s="5" t="s">
        <v>233</v>
      </c>
      <c r="K23" s="5"/>
      <c r="L23" s="5"/>
      <c r="M23" s="5" t="s">
        <v>234</v>
      </c>
      <c r="N23" s="5" t="s">
        <v>235</v>
      </c>
      <c r="O23" s="5"/>
      <c r="P23" s="5" t="s">
        <v>236</v>
      </c>
      <c r="Q23" s="5" t="s">
        <v>237</v>
      </c>
      <c r="R23" s="5" t="s">
        <v>238</v>
      </c>
      <c r="S23" s="5"/>
      <c r="T23" s="5"/>
      <c r="V23" t="str">
        <f t="shared" si="1"/>
        <v>ẽ|ㆥ|ㄏㆥ|ㄅㆥ|ㄆㆥ|||ㄉㆥ|ㄊㆥ|||ㄗㆥ|ㄘㆥ||ㄙㆥ|ㄍㆥ|ㄎㆥ||</v>
      </c>
      <c r="AF23" t="str">
        <f t="shared" si="0"/>
        <v>|ẽ|ㆥ|ㄏㆥ|ㄅㆥ|ㄆㆥ|||ㄉㆥ|ㄊㆥ|||ㄗㆥ|ㄘㆥ||ㄙㆥ|ㄍㆥ|ㄎㆥ|||</v>
      </c>
    </row>
    <row r="24" spans="2:32">
      <c r="B24" s="6" t="s">
        <v>239</v>
      </c>
      <c r="C24" s="5" t="s">
        <v>240</v>
      </c>
      <c r="D24" s="5" t="s">
        <v>241</v>
      </c>
      <c r="E24" s="5" t="s">
        <v>242</v>
      </c>
      <c r="F24" s="5" t="s">
        <v>243</v>
      </c>
      <c r="G24" s="5" t="s">
        <v>244</v>
      </c>
      <c r="H24" s="5" t="s">
        <v>245</v>
      </c>
      <c r="I24" s="5" t="s">
        <v>246</v>
      </c>
      <c r="J24" s="5" t="s">
        <v>247</v>
      </c>
      <c r="K24" s="5" t="s">
        <v>248</v>
      </c>
      <c r="L24" s="5" t="s">
        <v>249</v>
      </c>
      <c r="M24" s="5" t="s">
        <v>250</v>
      </c>
      <c r="N24" s="5" t="s">
        <v>251</v>
      </c>
      <c r="O24" s="5"/>
      <c r="P24" s="5" t="s">
        <v>252</v>
      </c>
      <c r="Q24" s="5" t="s">
        <v>253</v>
      </c>
      <c r="R24" s="5" t="s">
        <v>254</v>
      </c>
      <c r="S24" s="5" t="s">
        <v>255</v>
      </c>
      <c r="T24" s="5" t="s">
        <v>256</v>
      </c>
      <c r="V24" t="str">
        <f t="shared" si="1"/>
        <v>eʔ|ㆤㆷ|ㄏㆤㆷ|ㄅㆤㆷ|ㄆㆤㆷ|ㆠㆤㆷ|ㄇㆤㆷ|ㄉㆤㆷ|ㄊㆤㆷ|ㄋㆤㆷ|ㄌㆤㆷ|ㄗㆤㆷ|ㄘㆤㆷ||ㄙㆤㆷ|ㄍㆤㆷ|ㄎㆤㆷ|ㆣㆤㆷ|ㄫㆤㆷ</v>
      </c>
      <c r="AF24" t="str">
        <f t="shared" si="0"/>
        <v>|eʔ|ㆤㆷ|ㄏㆤㆷ|ㄅㆤㆷ|ㄆㆤㆷ|ㆠㆤㆷ|ㄇㆤㆷ|ㄉㆤㆷ|ㄊㆤㆷ|ㄋㆤㆷ|ㄌㆤㆷ|ㄗㆤㆷ|ㄘㆤㆷ||ㄙㆤㆷ|ㄍㆤㆷ|ㄎㆤㆷ|ㆣㆤㆷ|ㄫㆤㆷ|</v>
      </c>
    </row>
    <row r="25" spans="2:32">
      <c r="B25" s="6" t="s">
        <v>257</v>
      </c>
      <c r="C25" s="5" t="s">
        <v>258</v>
      </c>
      <c r="D25" s="5" t="s">
        <v>259</v>
      </c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 t="s">
        <v>260</v>
      </c>
      <c r="S25" s="5"/>
      <c r="T25" s="5"/>
      <c r="V25" t="str">
        <f t="shared" si="1"/>
        <v>ẽʔ|ㆥㆷ|ㄏㆥㆷ||||||||||||||ㄎㆥㆷ||</v>
      </c>
      <c r="AF25" t="str">
        <f t="shared" si="0"/>
        <v>|ẽʔ|ㆥㆷ|ㄏㆥㆷ||||||||||||||ㄎㆥㆷ|||</v>
      </c>
    </row>
    <row r="26" spans="2:32">
      <c r="B26" s="6"/>
      <c r="C26" s="5" t="s">
        <v>1</v>
      </c>
      <c r="D26" s="5" t="s">
        <v>2</v>
      </c>
      <c r="E26" s="5" t="s">
        <v>3</v>
      </c>
      <c r="F26" s="5" t="s">
        <v>4</v>
      </c>
      <c r="G26" s="5" t="s">
        <v>5</v>
      </c>
      <c r="H26" s="5" t="s">
        <v>6</v>
      </c>
      <c r="I26" s="5" t="s">
        <v>7</v>
      </c>
      <c r="J26" s="5" t="s">
        <v>8</v>
      </c>
      <c r="K26" s="5" t="s">
        <v>9</v>
      </c>
      <c r="L26" s="5" t="s">
        <v>10</v>
      </c>
      <c r="M26" s="5" t="s">
        <v>11</v>
      </c>
      <c r="N26" s="5" t="s">
        <v>12</v>
      </c>
      <c r="O26" s="5" t="s">
        <v>13</v>
      </c>
      <c r="P26" s="5" t="s">
        <v>14</v>
      </c>
      <c r="Q26" s="5" t="s">
        <v>15</v>
      </c>
      <c r="R26" s="5" t="s">
        <v>16</v>
      </c>
      <c r="S26" s="5" t="s">
        <v>17</v>
      </c>
      <c r="T26" s="5" t="s">
        <v>18</v>
      </c>
      <c r="V26" t="str">
        <f t="shared" si="1"/>
        <v>|Ø|h|p|pʰ|b|m|t|tʰ|n|l|ʦ/ʨ|ʦʰ/ʨʰ|ʣ/ʥ|s/ɕ|k|kʰ|g|ŋ</v>
      </c>
      <c r="AF26" t="str">
        <f t="shared" si="0"/>
        <v>||Ø|h|p|pʰ|b|m|t|tʰ|n|l|ʦ/ʨ|ʦʰ/ʨʰ|ʣ/ʥ|s/ɕ|k|kʰ|g|ŋ|</v>
      </c>
    </row>
    <row r="27" spans="2:32">
      <c r="B27" s="6" t="s">
        <v>261</v>
      </c>
      <c r="C27" s="5" t="s">
        <v>262</v>
      </c>
      <c r="D27" s="5" t="s">
        <v>263</v>
      </c>
      <c r="E27" s="5" t="s">
        <v>264</v>
      </c>
      <c r="F27" s="5" t="s">
        <v>265</v>
      </c>
      <c r="G27" s="5" t="s">
        <v>266</v>
      </c>
      <c r="H27" s="5" t="s">
        <v>267</v>
      </c>
      <c r="I27" s="5" t="s">
        <v>268</v>
      </c>
      <c r="J27" s="5" t="s">
        <v>269</v>
      </c>
      <c r="K27" s="5" t="s">
        <v>270</v>
      </c>
      <c r="L27" s="5" t="s">
        <v>271</v>
      </c>
      <c r="M27" s="5" t="s">
        <v>272</v>
      </c>
      <c r="N27" s="5" t="s">
        <v>273</v>
      </c>
      <c r="O27" s="5" t="s">
        <v>274</v>
      </c>
      <c r="P27" s="5" t="s">
        <v>275</v>
      </c>
      <c r="Q27" s="5" t="s">
        <v>276</v>
      </c>
      <c r="R27" s="5" t="s">
        <v>277</v>
      </c>
      <c r="S27" s="5" t="s">
        <v>278</v>
      </c>
      <c r="T27" s="5" t="s">
        <v>279</v>
      </c>
      <c r="V27" t="str">
        <f t="shared" si="1"/>
        <v>i|ㄧ|ㄏㄧ|ㄅㄧ|ㄆㄧ|ㆠㄧ|ㄇㄧ|ㄉㄧ|ㄊㄧ|ㄋㄧ|ㄌㄧ|ㄐㄧ|ㄑㄧ|ㆢㄧ|ㄒㄧ|ㄍㄧ|ㄎㄧ|ㆣㄧ|ㄫㄧ</v>
      </c>
      <c r="AF27" t="str">
        <f t="shared" si="0"/>
        <v>|i|ㄧ|ㄏㄧ|ㄅㄧ|ㄆㄧ|ㆠㄧ|ㄇㄧ|ㄉㄧ|ㄊㄧ|ㄋㄧ|ㄌㄧ|ㄐㄧ|ㄑㄧ|ㆢㄧ|ㄒㄧ|ㄍㄧ|ㄎㄧ|ㆣㄧ|ㄫㄧ|</v>
      </c>
    </row>
    <row r="28" spans="2:32">
      <c r="B28" s="6" t="s">
        <v>280</v>
      </c>
      <c r="C28" s="5" t="s">
        <v>281</v>
      </c>
      <c r="D28" s="5" t="s">
        <v>282</v>
      </c>
      <c r="E28" s="5" t="s">
        <v>283</v>
      </c>
      <c r="F28" s="5" t="s">
        <v>284</v>
      </c>
      <c r="G28" s="5"/>
      <c r="H28" s="5"/>
      <c r="I28" s="5" t="s">
        <v>285</v>
      </c>
      <c r="J28" s="5" t="s">
        <v>286</v>
      </c>
      <c r="K28" s="5"/>
      <c r="L28" s="5"/>
      <c r="M28" s="5" t="s">
        <v>287</v>
      </c>
      <c r="N28" s="5" t="s">
        <v>288</v>
      </c>
      <c r="O28" s="5"/>
      <c r="P28" s="5" t="s">
        <v>289</v>
      </c>
      <c r="Q28" s="5" t="s">
        <v>290</v>
      </c>
      <c r="R28" s="5" t="s">
        <v>291</v>
      </c>
      <c r="S28" s="5"/>
      <c r="T28" s="5"/>
      <c r="V28" t="str">
        <f t="shared" si="1"/>
        <v>ĩ|ㆪ|ㄏㆪ|ㄅㆪ|ㄆㆪ|||ㄉㆪ|ㄊㆪ|||ㄐㆪ|ㄑㆪ||ㄒㆪ|ㄍㆪ|ㄎㆪ||</v>
      </c>
      <c r="AF28" t="str">
        <f t="shared" si="0"/>
        <v>|ĩ|ㆪ|ㄏㆪ|ㄅㆪ|ㄆㆪ|||ㄉㆪ|ㄊㆪ|||ㄐㆪ|ㄑㆪ||ㄒㆪ|ㄍㆪ|ㄎㆪ|||</v>
      </c>
    </row>
    <row r="29" spans="2:32">
      <c r="B29" s="6" t="s">
        <v>292</v>
      </c>
      <c r="C29" s="5" t="s">
        <v>293</v>
      </c>
      <c r="D29" s="5"/>
      <c r="E29" s="5" t="s">
        <v>294</v>
      </c>
      <c r="F29" s="5" t="s">
        <v>295</v>
      </c>
      <c r="G29" s="5" t="s">
        <v>296</v>
      </c>
      <c r="H29" s="5" t="s">
        <v>297</v>
      </c>
      <c r="I29" s="5" t="s">
        <v>298</v>
      </c>
      <c r="J29" s="5" t="s">
        <v>299</v>
      </c>
      <c r="K29" s="5" t="s">
        <v>300</v>
      </c>
      <c r="L29" s="5" t="s">
        <v>301</v>
      </c>
      <c r="M29" s="5" t="s">
        <v>302</v>
      </c>
      <c r="N29" s="5" t="s">
        <v>303</v>
      </c>
      <c r="O29" s="5"/>
      <c r="P29" s="5" t="s">
        <v>304</v>
      </c>
      <c r="Q29" s="5" t="s">
        <v>305</v>
      </c>
      <c r="R29" s="5" t="s">
        <v>306</v>
      </c>
      <c r="S29" s="5"/>
      <c r="T29" s="5"/>
      <c r="V29" t="str">
        <f t="shared" si="1"/>
        <v>iʔ|ㄧㆷ||ㄅㄧㆷ|ㄆㄧㆷ|ㆠㄧㆷ|ㄇㄧㆷ|ㄉㄧㆷ|ㄊㄧㆷ|ㄋㄧㆷ|ㄌㄧㆷ|ㄐㄧㆷ|ㄑㄧㆷ||ㄒㄧㆷ|ㄍㄧㆷ|ㄎㄧㆷ||</v>
      </c>
      <c r="AF29" t="str">
        <f t="shared" si="0"/>
        <v>|iʔ|ㄧㆷ||ㄅㄧㆷ|ㄆㄧㆷ|ㆠㄧㆷ|ㄇㄧㆷ|ㄉㄧㆷ|ㄊㄧㆷ|ㄋㄧㆷ|ㄌㄧㆷ|ㄐㄧㆷ|ㄑㄧㆷ||ㄒㄧㆷ|ㄍㄧㆷ|ㄎㄧㆷ|||</v>
      </c>
    </row>
    <row r="30" spans="2:32">
      <c r="B30" s="6" t="s">
        <v>307</v>
      </c>
      <c r="C30" s="5" t="s">
        <v>308</v>
      </c>
      <c r="D30" s="5" t="s">
        <v>309</v>
      </c>
      <c r="E30" s="5"/>
      <c r="F30" s="5"/>
      <c r="G30" s="5"/>
      <c r="H30" s="5"/>
      <c r="I30" s="5" t="s">
        <v>310</v>
      </c>
      <c r="J30" s="5" t="s">
        <v>311</v>
      </c>
      <c r="K30" s="5"/>
      <c r="L30" s="5" t="s">
        <v>312</v>
      </c>
      <c r="M30" s="5" t="s">
        <v>313</v>
      </c>
      <c r="N30" s="5" t="s">
        <v>314</v>
      </c>
      <c r="O30" s="5" t="s">
        <v>315</v>
      </c>
      <c r="P30" s="5" t="s">
        <v>316</v>
      </c>
      <c r="Q30" s="5" t="s">
        <v>317</v>
      </c>
      <c r="R30" s="5" t="s">
        <v>318</v>
      </c>
      <c r="S30" s="5" t="s">
        <v>319</v>
      </c>
      <c r="T30" s="5"/>
      <c r="V30" t="str">
        <f t="shared" si="1"/>
        <v>im|ㄧㆬ|ㄏㄧㆬ|||||ㄉㄧㆬ|ㄊㄧㆬ||ㄌㄧㆬ|ㄐㄧㆬ|ㄑㄧㆬ|ㆢㄧㆬ|ㄒㄧㆬ|ㄍㄧㆬ|ㄎㄧㆬ|ㆣㄧㆬ|</v>
      </c>
      <c r="AF30" t="str">
        <f t="shared" si="0"/>
        <v>|im|ㄧㆬ|ㄏㄧㆬ|||||ㄉㄧㆬ|ㄊㄧㆬ||ㄌㄧㆬ|ㄐㄧㆬ|ㄑㄧㆬ|ㆢㄧㆬ|ㄒㄧㆬ|ㄍㄧㆬ|ㄎㄧㆬ|ㆣㄧㆬ||</v>
      </c>
    </row>
    <row r="31" spans="2:32">
      <c r="B31" s="6" t="s">
        <v>320</v>
      </c>
      <c r="C31" s="5" t="s">
        <v>321</v>
      </c>
      <c r="D31" s="5" t="s">
        <v>322</v>
      </c>
      <c r="E31" s="5" t="s">
        <v>323</v>
      </c>
      <c r="F31" s="5" t="s">
        <v>324</v>
      </c>
      <c r="G31" s="5" t="s">
        <v>325</v>
      </c>
      <c r="H31" s="5"/>
      <c r="I31" s="5" t="s">
        <v>326</v>
      </c>
      <c r="J31" s="5" t="s">
        <v>327</v>
      </c>
      <c r="K31" s="5"/>
      <c r="L31" s="5" t="s">
        <v>328</v>
      </c>
      <c r="M31" s="5" t="s">
        <v>329</v>
      </c>
      <c r="N31" s="5" t="s">
        <v>330</v>
      </c>
      <c r="O31" s="5" t="s">
        <v>331</v>
      </c>
      <c r="P31" s="5" t="s">
        <v>332</v>
      </c>
      <c r="Q31" s="5" t="s">
        <v>333</v>
      </c>
      <c r="R31" s="5" t="s">
        <v>334</v>
      </c>
      <c r="S31" s="5" t="s">
        <v>335</v>
      </c>
      <c r="T31" s="5"/>
      <c r="V31" t="str">
        <f t="shared" si="1"/>
        <v>in|ㄧㄣ|ㄏㄧㄣ|ㄅㄧㄣ|ㄆㄧㄣ|ㆠㄧㄣ||ㄉㄧㄣ|ㄊㄧㄣ||ㄌㄧㄣ|ㄐㄧㄣ|ㄑㄧㄣ|ㆢㄧㄣ|ㄒㄧㄣ|ㄍㄧㄣ|ㄎㄧㄣ|ㆣㄧㄣ|</v>
      </c>
      <c r="AF31" t="str">
        <f t="shared" si="0"/>
        <v>|in|ㄧㄣ|ㄏㄧㄣ|ㄅㄧㄣ|ㄆㄧㄣ|ㆠㄧㄣ||ㄉㄧㄣ|ㄊㄧㄣ||ㄌㄧㄣ|ㄐㄧㄣ|ㄑㄧㄣ|ㆢㄧㄣ|ㄒㄧㄣ|ㄍㄧㄣ|ㄎㄧㄣ|ㆣㄧㄣ||</v>
      </c>
    </row>
    <row r="32" spans="2:32">
      <c r="B32" s="6" t="s">
        <v>336</v>
      </c>
      <c r="C32" s="5" t="s">
        <v>337</v>
      </c>
      <c r="D32" s="5" t="s">
        <v>338</v>
      </c>
      <c r="E32" s="5" t="s">
        <v>339</v>
      </c>
      <c r="F32" s="5" t="s">
        <v>340</v>
      </c>
      <c r="G32" s="5" t="s">
        <v>341</v>
      </c>
      <c r="H32" s="5"/>
      <c r="I32" s="5" t="s">
        <v>342</v>
      </c>
      <c r="J32" s="5" t="s">
        <v>343</v>
      </c>
      <c r="K32" s="5"/>
      <c r="L32" s="5" t="s">
        <v>344</v>
      </c>
      <c r="M32" s="5" t="s">
        <v>345</v>
      </c>
      <c r="N32" s="5" t="s">
        <v>346</v>
      </c>
      <c r="O32" s="5"/>
      <c r="P32" s="5" t="s">
        <v>347</v>
      </c>
      <c r="Q32" s="5" t="s">
        <v>348</v>
      </c>
      <c r="R32" s="5" t="s">
        <v>349</v>
      </c>
      <c r="S32" s="5" t="s">
        <v>350</v>
      </c>
      <c r="T32" s="5"/>
      <c r="V32" t="str">
        <f t="shared" si="1"/>
        <v>iŋ|ㄧㄥ|ㄏㄧㄥ|ㄅㄧㄥ|ㄆㄧㄥ|ㆠㄧㄥ||ㄉㄧㄥ|ㄊㄧㄥ||ㄌㄧㄥ|ㄐㄧㄥ|ㄑㄧㄥ||ㄒㄧㄥ|ㄍㄧㄥ|ㄎㄧㄥ|ㆣㄧㄥ|</v>
      </c>
      <c r="AF32" t="str">
        <f t="shared" si="0"/>
        <v>|iŋ|ㄧㄥ|ㄏㄧㄥ|ㄅㄧㄥ|ㄆㄧㄥ|ㆠㄧㄥ||ㄉㄧㄥ|ㄊㄧㄥ||ㄌㄧㄥ|ㄐㄧㄥ|ㄑㄧㄥ||ㄒㄧㄥ|ㄍㄧㄥ|ㄎㄧㄥ|ㆣㄧㄥ||</v>
      </c>
    </row>
    <row r="33" spans="2:32">
      <c r="B33" s="6" t="s">
        <v>351</v>
      </c>
      <c r="C33" s="5" t="s">
        <v>352</v>
      </c>
      <c r="D33" s="5" t="s">
        <v>353</v>
      </c>
      <c r="E33" s="5"/>
      <c r="F33" s="5"/>
      <c r="G33" s="5"/>
      <c r="H33" s="5"/>
      <c r="I33" s="5"/>
      <c r="J33" s="5"/>
      <c r="K33" s="5"/>
      <c r="L33" s="5" t="s">
        <v>354</v>
      </c>
      <c r="M33" s="5" t="s">
        <v>355</v>
      </c>
      <c r="N33" s="5" t="s">
        <v>356</v>
      </c>
      <c r="O33" s="5" t="s">
        <v>357</v>
      </c>
      <c r="P33" s="5" t="s">
        <v>358</v>
      </c>
      <c r="Q33" s="5" t="s">
        <v>359</v>
      </c>
      <c r="R33" s="5" t="s">
        <v>360</v>
      </c>
      <c r="S33" s="5"/>
      <c r="T33" s="5"/>
      <c r="V33" t="str">
        <f t="shared" si="1"/>
        <v>ip̚|ㄧㆴ|ㄏㄧㆴ||||||||ㄌㄧㆴ|ㄐㄧㆴ|ㄑㄧㆴ|ㆢㄧㆴ|ㄒㄧㆴ|ㄍㄧㆴ|ㄎㄧㆴ||</v>
      </c>
      <c r="AF33" t="str">
        <f t="shared" si="0"/>
        <v>|ip̚|ㄧㆴ|ㄏㄧㆴ||||||||ㄌㄧㆴ|ㄐㄧㆴ|ㄑㄧㆴ|ㆢㄧㆴ|ㄒㄧㆴ|ㄍㄧㆴ|ㄎㄧㆴ|||</v>
      </c>
    </row>
    <row r="34" spans="2:32">
      <c r="B34" s="6" t="s">
        <v>361</v>
      </c>
      <c r="C34" s="5" t="s">
        <v>362</v>
      </c>
      <c r="D34" s="5" t="s">
        <v>363</v>
      </c>
      <c r="E34" s="5" t="s">
        <v>364</v>
      </c>
      <c r="F34" s="5" t="s">
        <v>365</v>
      </c>
      <c r="G34" s="5" t="s">
        <v>366</v>
      </c>
      <c r="H34" s="5"/>
      <c r="I34" s="5" t="s">
        <v>367</v>
      </c>
      <c r="J34" s="5" t="s">
        <v>368</v>
      </c>
      <c r="K34" s="5"/>
      <c r="L34" s="5" t="s">
        <v>369</v>
      </c>
      <c r="M34" s="5" t="s">
        <v>370</v>
      </c>
      <c r="N34" s="5" t="s">
        <v>371</v>
      </c>
      <c r="O34" s="5" t="s">
        <v>372</v>
      </c>
      <c r="P34" s="5" t="s">
        <v>373</v>
      </c>
      <c r="Q34" s="5" t="s">
        <v>374</v>
      </c>
      <c r="R34" s="5" t="s">
        <v>375</v>
      </c>
      <c r="S34" s="5"/>
      <c r="T34" s="5"/>
      <c r="V34" t="str">
        <f t="shared" si="1"/>
        <v>it̚|ㄧㆵ|ㄏㄧㆵ|ㄅㄧㆵ|ㄆㄧㆵ|ㆠㄧㆵ||ㄉㄧㆵ|ㄊㄧㆵ||ㄌㄧㆵ|ㄐㄧㆵ|ㄑㄧㆵ|ㆢㄧㆵ|ㄒㄧㆵ|ㄍㄧㆵ|ㄎㄧㆵ||</v>
      </c>
      <c r="AF34" t="str">
        <f t="shared" si="0"/>
        <v>|it̚|ㄧㆵ|ㄏㄧㆵ|ㄅㄧㆵ|ㄆㄧㆵ|ㆠㄧㆵ||ㄉㄧㆵ|ㄊㄧㆵ||ㄌㄧㆵ|ㄐㄧㆵ|ㄑㄧㆵ|ㆢㄧㆵ|ㄒㄧㆵ|ㄍㄧㆵ|ㄎㄧㆵ|||</v>
      </c>
    </row>
    <row r="35" spans="2:32">
      <c r="B35" s="6" t="s">
        <v>376</v>
      </c>
      <c r="C35" s="5" t="s">
        <v>377</v>
      </c>
      <c r="D35" s="5" t="s">
        <v>378</v>
      </c>
      <c r="E35" s="5" t="s">
        <v>379</v>
      </c>
      <c r="F35" s="5" t="s">
        <v>380</v>
      </c>
      <c r="G35" s="5" t="s">
        <v>381</v>
      </c>
      <c r="H35" s="5"/>
      <c r="I35" s="5" t="s">
        <v>382</v>
      </c>
      <c r="J35" s="5" t="s">
        <v>383</v>
      </c>
      <c r="K35" s="5"/>
      <c r="L35" s="5" t="s">
        <v>384</v>
      </c>
      <c r="M35" s="5" t="s">
        <v>385</v>
      </c>
      <c r="N35" s="5" t="s">
        <v>386</v>
      </c>
      <c r="O35" s="5" t="s">
        <v>387</v>
      </c>
      <c r="P35" s="5" t="s">
        <v>388</v>
      </c>
      <c r="Q35" s="5" t="s">
        <v>389</v>
      </c>
      <c r="R35" s="5" t="s">
        <v>390</v>
      </c>
      <c r="S35" s="5" t="s">
        <v>391</v>
      </c>
      <c r="T35" s="5"/>
      <c r="V35" t="str">
        <f t="shared" si="1"/>
        <v>ik̚/ɪək̚|ㄧㆻ|ㄏㄧㆻ|ㄅㄧㆻ|ㄆㄧㆻ|ㆠㄧㆻ||ㄉㄧㆻ|ㄊㄧㆻ||ㄌㄧㆻ|ㄐㄧㆻ|ㄑㄧㆻ|ㆢㄧㆻ|ㄒㄧㆻ|ㄍㄧㆻ|ㄎㄧㆻ|ㆣㄧㆻ|</v>
      </c>
      <c r="AF35" t="str">
        <f t="shared" si="0"/>
        <v>|ik̚/ɪək̚|ㄧㆻ|ㄏㄧㆻ|ㄅㄧㆻ|ㄆㄧㆻ|ㆠㄧㆻ||ㄉㄧㆻ|ㄊㄧㆻ||ㄌㄧㆻ|ㄐㄧㆻ|ㄑㄧㆻ|ㆢㄧㆻ|ㄒㄧㆻ|ㄍㄧㆻ|ㄎㄧㆻ|ㆣㄧㆻ||</v>
      </c>
    </row>
    <row r="36" spans="2:32">
      <c r="B36" s="6" t="s">
        <v>392</v>
      </c>
      <c r="C36" s="5" t="s">
        <v>393</v>
      </c>
      <c r="D36" s="5" t="s">
        <v>394</v>
      </c>
      <c r="E36" s="5"/>
      <c r="F36" s="5"/>
      <c r="G36" s="5"/>
      <c r="H36" s="5" t="s">
        <v>395</v>
      </c>
      <c r="I36" s="5" t="s">
        <v>396</v>
      </c>
      <c r="J36" s="5"/>
      <c r="K36" s="5" t="s">
        <v>397</v>
      </c>
      <c r="L36" s="5" t="s">
        <v>398</v>
      </c>
      <c r="M36" s="5" t="s">
        <v>399</v>
      </c>
      <c r="N36" s="5" t="s">
        <v>400</v>
      </c>
      <c r="O36" s="5" t="s">
        <v>401</v>
      </c>
      <c r="P36" s="5" t="s">
        <v>402</v>
      </c>
      <c r="Q36" s="5" t="s">
        <v>403</v>
      </c>
      <c r="R36" s="5" t="s">
        <v>404</v>
      </c>
      <c r="S36" s="5" t="s">
        <v>405</v>
      </c>
      <c r="T36" s="5" t="s">
        <v>406</v>
      </c>
      <c r="V36" t="str">
        <f t="shared" si="1"/>
        <v>ɪa|ㄧㄚ|ㄏㄧㄚ||||ㄇㄧㄚ|ㄉㄧㄚ||ㄋㄧㄚ|ㄌㄧㄚ|ㄐㄧㄚ|ㄑㄧㄚ|ㆢㄧㄚ|ㄒㄧㄚ|ㄍㄧㄚ|ㄎㄧㄚ|ㆣㄧㄚ|ㄫㄧㄚ</v>
      </c>
      <c r="AF36" t="str">
        <f t="shared" si="0"/>
        <v>|ɪa|ㄧㄚ|ㄏㄧㄚ||||ㄇㄧㄚ|ㄉㄧㄚ||ㄋㄧㄚ|ㄌㄧㄚ|ㄐㄧㄚ|ㄑㄧㄚ|ㆢㄧㄚ|ㄒㄧㄚ|ㄍㄧㄚ|ㄎㄧㄚ|ㆣㄧㄚ|ㄫㄧㄚ|</v>
      </c>
    </row>
    <row r="37" spans="2:32">
      <c r="B37" s="6" t="s">
        <v>407</v>
      </c>
      <c r="C37" s="5" t="s">
        <v>408</v>
      </c>
      <c r="D37" s="5" t="s">
        <v>409</v>
      </c>
      <c r="E37" s="5" t="s">
        <v>410</v>
      </c>
      <c r="F37" s="5" t="s">
        <v>411</v>
      </c>
      <c r="G37" s="5"/>
      <c r="H37" s="5"/>
      <c r="I37" s="5" t="s">
        <v>412</v>
      </c>
      <c r="J37" s="5" t="s">
        <v>413</v>
      </c>
      <c r="K37" s="5"/>
      <c r="L37" s="5"/>
      <c r="M37" s="5" t="s">
        <v>414</v>
      </c>
      <c r="N37" s="5" t="s">
        <v>415</v>
      </c>
      <c r="O37" s="5"/>
      <c r="P37" s="5" t="s">
        <v>416</v>
      </c>
      <c r="Q37" s="5" t="s">
        <v>417</v>
      </c>
      <c r="R37" s="5" t="s">
        <v>418</v>
      </c>
      <c r="S37" s="5"/>
      <c r="T37" s="5"/>
      <c r="V37" t="str">
        <f t="shared" si="1"/>
        <v>iã|ㄧㆩ|ㄏㄧㆩ|ㄅㄧㆩ|ㄆㄧㆩ|||ㄉㄧㆩ|ㄊㄧㆩ|||ㄐㄧㆩ|ㄑㄧㆩ||ㄒㄧㆩ|ㄍㄧㆩ|ㄎㄧㆩ||</v>
      </c>
      <c r="AF37" t="str">
        <f t="shared" si="0"/>
        <v>|iã|ㄧㆩ|ㄏㄧㆩ|ㄅㄧㆩ|ㄆㄧㆩ|||ㄉㄧㆩ|ㄊㄧㆩ|||ㄐㄧㆩ|ㄑㄧㆩ||ㄒㄧㆩ|ㄍㄧㆩ|ㄎㄧㆩ|||</v>
      </c>
    </row>
    <row r="38" spans="2:32">
      <c r="B38" s="6" t="s">
        <v>419</v>
      </c>
      <c r="C38" s="5" t="s">
        <v>420</v>
      </c>
      <c r="D38" s="5" t="s">
        <v>421</v>
      </c>
      <c r="E38" s="5" t="s">
        <v>422</v>
      </c>
      <c r="F38" s="5" t="s">
        <v>423</v>
      </c>
      <c r="G38" s="5"/>
      <c r="H38" s="5"/>
      <c r="I38" s="5" t="s">
        <v>424</v>
      </c>
      <c r="J38" s="5" t="s">
        <v>425</v>
      </c>
      <c r="K38" s="5"/>
      <c r="L38" s="5" t="s">
        <v>426</v>
      </c>
      <c r="M38" s="5" t="s">
        <v>427</v>
      </c>
      <c r="N38" s="5" t="s">
        <v>428</v>
      </c>
      <c r="O38" s="5" t="s">
        <v>429</v>
      </c>
      <c r="P38" s="5" t="s">
        <v>430</v>
      </c>
      <c r="Q38" s="5" t="s">
        <v>431</v>
      </c>
      <c r="R38" s="5" t="s">
        <v>432</v>
      </c>
      <c r="S38" s="5" t="s">
        <v>433</v>
      </c>
      <c r="T38" s="5"/>
      <c r="V38" t="str">
        <f t="shared" si="1"/>
        <v>ɪaʔ|ㄧㄚㆷ|ㄏㄧㄚㆷ|ㄅㄧㄚㆷ|ㄆㄧㄚㆷ|||ㄉㄧㄚㆷ|ㄊㄧㄚㆷ||ㄌㄧㄚㆷ|ㄐㄧㄚㆷ|ㄑㄧㄚㆷ|ㆢㄧㄚㆷ|ㄒㄧㄚㆷ|ㄍㄧㄚㆷ|ㄎㄧㄚㆷ|ㆣㄧㄚㆷ|</v>
      </c>
      <c r="AF38" t="str">
        <f t="shared" si="0"/>
        <v>|ɪaʔ|ㄧㄚㆷ|ㄏㄧㄚㆷ|ㄅㄧㄚㆷ|ㄆㄧㄚㆷ|||ㄉㄧㄚㆷ|ㄊㄧㄚㆷ||ㄌㄧㄚㆷ|ㄐㄧㄚㆷ|ㄑㄧㄚㆷ|ㆢㄧㄚㆷ|ㄒㄧㄚㆷ|ㄍㄧㄚㆷ|ㄎㄧㄚㆷ|ㆣㄧㄚㆷ||</v>
      </c>
    </row>
    <row r="39" spans="2:32">
      <c r="B39" s="6" t="s">
        <v>434</v>
      </c>
      <c r="C39" s="5" t="s">
        <v>435</v>
      </c>
      <c r="D39" s="5" t="s">
        <v>436</v>
      </c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 t="s">
        <v>437</v>
      </c>
      <c r="Q39" s="5"/>
      <c r="R39" s="5"/>
      <c r="S39" s="5"/>
      <c r="T39" s="5"/>
      <c r="V39" t="str">
        <f t="shared" si="1"/>
        <v>iãʔ|ㄧㆩㆷ|ㄏㄧㆩㆷ||||||||||||ㄒㄧㆩㆷ||||</v>
      </c>
      <c r="AF39" t="str">
        <f t="shared" si="0"/>
        <v>|iãʔ|ㄧㆩㆷ|ㄏㄧㆩㆷ||||||||||||ㄒㄧㆩㆷ|||||</v>
      </c>
    </row>
    <row r="40" spans="2:32">
      <c r="B40" s="6" t="s">
        <v>438</v>
      </c>
      <c r="C40" s="5" t="s">
        <v>439</v>
      </c>
      <c r="D40" s="5" t="s">
        <v>440</v>
      </c>
      <c r="E40" s="5"/>
      <c r="F40" s="5"/>
      <c r="G40" s="5"/>
      <c r="H40" s="5"/>
      <c r="I40" s="5" t="s">
        <v>441</v>
      </c>
      <c r="J40" s="5" t="s">
        <v>442</v>
      </c>
      <c r="K40" s="5"/>
      <c r="L40" s="5" t="s">
        <v>443</v>
      </c>
      <c r="M40" s="5" t="s">
        <v>444</v>
      </c>
      <c r="N40" s="5" t="s">
        <v>445</v>
      </c>
      <c r="O40" s="5" t="s">
        <v>446</v>
      </c>
      <c r="P40" s="5" t="s">
        <v>447</v>
      </c>
      <c r="Q40" s="5" t="s">
        <v>448</v>
      </c>
      <c r="R40" s="5" t="s">
        <v>449</v>
      </c>
      <c r="S40" s="5" t="s">
        <v>450</v>
      </c>
      <c r="T40" s="5"/>
      <c r="V40" t="str">
        <f t="shared" si="1"/>
        <v>ɪam|ㄧㆰ|ㄏㄧㆰ|||||ㄉㄧㆰ|ㄊㄧㆰ||ㄌㄧㆰ|ㄐㄧㆰ|ㄑㄧㆰ|ㆢㄧㆰ|ㄒㄧㆰ|ㄍㄧㆰ|ㄎㄧㆰ|ㆣㄧㆰ|</v>
      </c>
      <c r="AF40" t="str">
        <f t="shared" si="0"/>
        <v>|ɪam|ㄧㆰ|ㄏㄧㆰ|||||ㄉㄧㆰ|ㄊㄧㆰ||ㄌㄧㆰ|ㄐㄧㆰ|ㄑㄧㆰ|ㆢㄧㆰ|ㄒㄧㆰ|ㄍㄧㆰ|ㄎㄧㆰ|ㆣㄧㆰ||</v>
      </c>
    </row>
    <row r="41" spans="2:32">
      <c r="B41" s="6" t="s">
        <v>451</v>
      </c>
      <c r="C41" s="5" t="s">
        <v>452</v>
      </c>
      <c r="D41" s="5" t="s">
        <v>453</v>
      </c>
      <c r="E41" s="5" t="s">
        <v>454</v>
      </c>
      <c r="F41" s="5" t="s">
        <v>455</v>
      </c>
      <c r="G41" s="5" t="s">
        <v>456</v>
      </c>
      <c r="H41" s="5"/>
      <c r="I41" s="5" t="s">
        <v>457</v>
      </c>
      <c r="J41" s="5" t="s">
        <v>458</v>
      </c>
      <c r="K41" s="5"/>
      <c r="L41" s="5" t="s">
        <v>459</v>
      </c>
      <c r="M41" s="5" t="s">
        <v>460</v>
      </c>
      <c r="N41" s="5" t="s">
        <v>461</v>
      </c>
      <c r="O41" s="5" t="s">
        <v>462</v>
      </c>
      <c r="P41" s="5" t="s">
        <v>463</v>
      </c>
      <c r="Q41" s="5" t="s">
        <v>464</v>
      </c>
      <c r="R41" s="5" t="s">
        <v>465</v>
      </c>
      <c r="S41" s="5" t="s">
        <v>466</v>
      </c>
      <c r="T41" s="5"/>
      <c r="V41" t="str">
        <f t="shared" si="1"/>
        <v>ɪan/en|ㄧㄢ|ㄏㄧㄢ|ㄅㄧㄢ|ㄆㄧㄢ|ㆠㄧㄢ||ㄉㄧㄢ|ㄊㄧㄢ||ㄌㄧㄢ|ㄐㄧㄢ|ㄑㄧㄢ|ㆢㄧㄢ|ㄒㄧㄢ|ㄍㄧㄢ|ㄎㄧㄢ|ㆣㄧㄢ|</v>
      </c>
      <c r="AF41" t="str">
        <f t="shared" si="0"/>
        <v>|ɪan/en|ㄧㄢ|ㄏㄧㄢ|ㄅㄧㄢ|ㄆㄧㄢ|ㆠㄧㄢ||ㄉㄧㄢ|ㄊㄧㄢ||ㄌㄧㄢ|ㄐㄧㄢ|ㄑㄧㄢ|ㆢㄧㄢ|ㄒㄧㄢ|ㄍㄧㄢ|ㄎㄧㄢ|ㆣㄧㄢ||</v>
      </c>
    </row>
    <row r="42" spans="2:32">
      <c r="B42" s="6"/>
      <c r="C42" s="5" t="s">
        <v>1</v>
      </c>
      <c r="D42" s="5" t="s">
        <v>2</v>
      </c>
      <c r="E42" s="5" t="s">
        <v>3</v>
      </c>
      <c r="F42" s="5" t="s">
        <v>4</v>
      </c>
      <c r="G42" s="5" t="s">
        <v>5</v>
      </c>
      <c r="H42" s="5" t="s">
        <v>6</v>
      </c>
      <c r="I42" s="5" t="s">
        <v>7</v>
      </c>
      <c r="J42" s="5" t="s">
        <v>8</v>
      </c>
      <c r="K42" s="5" t="s">
        <v>9</v>
      </c>
      <c r="L42" s="5" t="s">
        <v>10</v>
      </c>
      <c r="M42" s="5" t="s">
        <v>11</v>
      </c>
      <c r="N42" s="5" t="s">
        <v>12</v>
      </c>
      <c r="O42" s="5" t="s">
        <v>13</v>
      </c>
      <c r="P42" s="5" t="s">
        <v>14</v>
      </c>
      <c r="Q42" s="5" t="s">
        <v>15</v>
      </c>
      <c r="R42" s="5" t="s">
        <v>16</v>
      </c>
      <c r="S42" s="5" t="s">
        <v>17</v>
      </c>
      <c r="T42" s="5" t="s">
        <v>18</v>
      </c>
      <c r="V42" t="str">
        <f t="shared" si="1"/>
        <v>|Ø|h|p|pʰ|b|m|t|tʰ|n|l|ʦ/ʨ|ʦʰ/ʨʰ|ʣ/ʥ|s/ɕ|k|kʰ|g|ŋ</v>
      </c>
      <c r="AF42" t="str">
        <f t="shared" si="0"/>
        <v>||Ø|h|p|pʰ|b|m|t|tʰ|n|l|ʦ/ʨ|ʦʰ/ʨʰ|ʣ/ʥ|s/ɕ|k|kʰ|g|ŋ|</v>
      </c>
    </row>
    <row r="43" spans="2:32">
      <c r="B43" s="6" t="s">
        <v>467</v>
      </c>
      <c r="C43" s="5" t="s">
        <v>468</v>
      </c>
      <c r="D43" s="5" t="s">
        <v>469</v>
      </c>
      <c r="E43" s="5" t="s">
        <v>470</v>
      </c>
      <c r="F43" s="5" t="s">
        <v>471</v>
      </c>
      <c r="G43" s="5"/>
      <c r="H43" s="5"/>
      <c r="I43" s="5"/>
      <c r="J43" s="5"/>
      <c r="K43" s="5"/>
      <c r="L43" s="5" t="s">
        <v>472</v>
      </c>
      <c r="M43" s="5" t="s">
        <v>473</v>
      </c>
      <c r="N43" s="5" t="s">
        <v>474</v>
      </c>
      <c r="O43" s="5" t="s">
        <v>475</v>
      </c>
      <c r="P43" s="5" t="s">
        <v>476</v>
      </c>
      <c r="Q43" s="5" t="s">
        <v>477</v>
      </c>
      <c r="R43" s="5" t="s">
        <v>478</v>
      </c>
      <c r="S43" s="5" t="s">
        <v>479</v>
      </c>
      <c r="T43" s="5"/>
      <c r="V43" t="str">
        <f t="shared" si="1"/>
        <v>ɪaŋ|ㄧㄤ|ㄏㄧㄤ|ㄅㄧㄤ|ㄆㄧㄤ||||||ㄌㄧㄤ|ㄐㄧㄤ|ㄑㄧㄤ|ㆢㄧㄤ|ㄒㄧㄤ|ㄍㄧㄤ|ㄎㄧㄤ|ㆣㄧㄤ|</v>
      </c>
      <c r="AF43" t="str">
        <f t="shared" si="0"/>
        <v>|ɪaŋ|ㄧㄤ|ㄏㄧㄤ|ㄅㄧㄤ|ㄆㄧㄤ||||||ㄌㄧㄤ|ㄐㄧㄤ|ㄑㄧㄤ|ㆢㄧㄤ|ㄒㄧㄤ|ㄍㄧㄤ|ㄎㄧㄤ|ㆣㄧㄤ||</v>
      </c>
    </row>
    <row r="44" spans="2:32">
      <c r="B44" s="6" t="s">
        <v>480</v>
      </c>
      <c r="C44" s="5" t="s">
        <v>481</v>
      </c>
      <c r="D44" s="5" t="s">
        <v>482</v>
      </c>
      <c r="E44" s="5"/>
      <c r="F44" s="5"/>
      <c r="G44" s="5"/>
      <c r="H44" s="5"/>
      <c r="I44" s="5" t="s">
        <v>483</v>
      </c>
      <c r="J44" s="5" t="s">
        <v>484</v>
      </c>
      <c r="K44" s="5"/>
      <c r="L44" s="5" t="s">
        <v>485</v>
      </c>
      <c r="M44" s="5" t="s">
        <v>486</v>
      </c>
      <c r="N44" s="5" t="s">
        <v>487</v>
      </c>
      <c r="O44" s="5" t="s">
        <v>488</v>
      </c>
      <c r="P44" s="5" t="s">
        <v>489</v>
      </c>
      <c r="Q44" s="5" t="s">
        <v>490</v>
      </c>
      <c r="R44" s="5" t="s">
        <v>491</v>
      </c>
      <c r="S44" s="5" t="s">
        <v>492</v>
      </c>
      <c r="T44" s="5"/>
      <c r="V44" t="str">
        <f t="shared" si="1"/>
        <v>ɪap̚|ㄧㄚㆴ|ㄏㄧㄚㆴ|||||ㄉㄧㄚㆴ|ㄊㄧㄚㆴ||ㄌㄧㄚㆴ|ㄐㄧㄚㆴ|ㄑㄧㄚㆴ|ㆢㄧㄚㆴ|ㄒㄧㄚㆴ|ㄍㄧㄚㆴ|ㄎㄧㄚㆴ|ㆣㄧㄚㆴ|</v>
      </c>
      <c r="AF44" t="str">
        <f t="shared" si="0"/>
        <v>|ɪap̚|ㄧㄚㆴ|ㄏㄧㄚㆴ|||||ㄉㄧㄚㆴ|ㄊㄧㄚㆴ||ㄌㄧㄚㆴ|ㄐㄧㄚㆴ|ㄑㄧㄚㆴ|ㆢㄧㄚㆴ|ㄒㄧㄚㆴ|ㄍㄧㄚㆴ|ㄎㄧㄚㆴ|ㆣㄧㄚㆴ||</v>
      </c>
    </row>
    <row r="45" spans="2:32">
      <c r="B45" s="6" t="s">
        <v>493</v>
      </c>
      <c r="C45" s="5" t="s">
        <v>494</v>
      </c>
      <c r="D45" s="5" t="s">
        <v>495</v>
      </c>
      <c r="E45" s="5" t="s">
        <v>496</v>
      </c>
      <c r="F45" s="5" t="s">
        <v>497</v>
      </c>
      <c r="G45" s="5" t="s">
        <v>498</v>
      </c>
      <c r="H45" s="5"/>
      <c r="I45" s="5" t="s">
        <v>499</v>
      </c>
      <c r="J45" s="5" t="s">
        <v>500</v>
      </c>
      <c r="K45" s="5"/>
      <c r="L45" s="5" t="s">
        <v>501</v>
      </c>
      <c r="M45" s="5" t="s">
        <v>502</v>
      </c>
      <c r="N45" s="5" t="s">
        <v>503</v>
      </c>
      <c r="O45" s="5" t="s">
        <v>504</v>
      </c>
      <c r="P45" s="5" t="s">
        <v>505</v>
      </c>
      <c r="Q45" s="5" t="s">
        <v>506</v>
      </c>
      <c r="R45" s="5" t="s">
        <v>507</v>
      </c>
      <c r="S45" s="5" t="s">
        <v>508</v>
      </c>
      <c r="T45" s="5"/>
      <c r="V45" t="str">
        <f t="shared" si="1"/>
        <v>ɪat̚/ɪet̚|ㄧㄚㆵ|ㄏㄧㄚㆵ|ㄅㄧㄚㆵ|ㄆㄧㄚㆵ|ㆠㄧㄚㆵ||ㄉㄧㄚㆵ|ㄊㄧㄚㆵ||ㄌㄧㄚㆵ|ㄐㄧㄚㆵ|ㄑㄧㄚㆵ|ㆢㄧㄚㆵ|ㄒㄧㄚㆵ|ㄍㄧㄚㆵ|ㄎㄧㄚㆵ|ㆣㄧㄚㆵ|</v>
      </c>
      <c r="AF45" t="str">
        <f t="shared" si="0"/>
        <v>|ɪat̚/ɪet̚|ㄧㄚㆵ|ㄏㄧㄚㆵ|ㄅㄧㄚㆵ|ㄆㄧㄚㆵ|ㆠㄧㄚㆵ||ㄉㄧㄚㆵ|ㄊㄧㄚㆵ||ㄌㄧㄚㆵ|ㄐㄧㄚㆵ|ㄑㄧㄚㆵ|ㆢㄧㄚㆵ|ㄒㄧㄚㆵ|ㄍㄧㄚㆵ|ㄎㄧㄚㆵ|ㆣㄧㄚㆵ||</v>
      </c>
    </row>
    <row r="46" spans="2:32">
      <c r="B46" s="6" t="s">
        <v>509</v>
      </c>
      <c r="C46" s="5" t="s">
        <v>510</v>
      </c>
      <c r="D46" s="5"/>
      <c r="E46" s="5" t="s">
        <v>511</v>
      </c>
      <c r="F46" s="5" t="s">
        <v>512</v>
      </c>
      <c r="G46" s="5"/>
      <c r="H46" s="5"/>
      <c r="I46" s="5" t="s">
        <v>513</v>
      </c>
      <c r="J46" s="5"/>
      <c r="K46" s="5"/>
      <c r="L46" s="5"/>
      <c r="M46" s="5"/>
      <c r="N46" s="5" t="s">
        <v>514</v>
      </c>
      <c r="O46" s="5"/>
      <c r="P46" s="5" t="s">
        <v>515</v>
      </c>
      <c r="Q46" s="5"/>
      <c r="R46" s="5" t="s">
        <v>516</v>
      </c>
      <c r="S46" s="5"/>
      <c r="T46" s="5"/>
      <c r="V46" t="str">
        <f t="shared" si="1"/>
        <v>ɪak̚|ㄧㄚㆻ||ㄅㄧㄚㆻ|ㄆㄧㄚㆻ|||ㄉㄧㄚㆻ|||||ㄑㄧㄚㆻ||ㄒㄧㄚㆻ||ㄎㄧㄚㆻ||</v>
      </c>
      <c r="AF46" t="str">
        <f t="shared" si="0"/>
        <v>|ɪak̚|ㄧㄚㆻ||ㄅㄧㄚㆻ|ㄆㄧㄚㆻ|||ㄉㄧㄚㆻ|||||ㄑㄧㄚㆻ||ㄒㄧㄚㆻ||ㄎㄧㄚㆻ|||</v>
      </c>
    </row>
    <row r="47" spans="2:32">
      <c r="B47" s="6" t="s">
        <v>517</v>
      </c>
      <c r="C47" s="5" t="s">
        <v>518</v>
      </c>
      <c r="D47" s="5" t="s">
        <v>519</v>
      </c>
      <c r="E47" s="5" t="s">
        <v>520</v>
      </c>
      <c r="F47" s="5" t="s">
        <v>521</v>
      </c>
      <c r="G47" s="5" t="s">
        <v>522</v>
      </c>
      <c r="H47" s="5" t="s">
        <v>523</v>
      </c>
      <c r="I47" s="5" t="s">
        <v>524</v>
      </c>
      <c r="J47" s="5" t="s">
        <v>525</v>
      </c>
      <c r="K47" s="5" t="s">
        <v>526</v>
      </c>
      <c r="L47" s="5" t="s">
        <v>527</v>
      </c>
      <c r="M47" s="5" t="s">
        <v>528</v>
      </c>
      <c r="N47" s="5" t="s">
        <v>529</v>
      </c>
      <c r="O47" s="5" t="s">
        <v>530</v>
      </c>
      <c r="P47" s="5" t="s">
        <v>531</v>
      </c>
      <c r="Q47" s="5" t="s">
        <v>532</v>
      </c>
      <c r="R47" s="5" t="s">
        <v>533</v>
      </c>
      <c r="S47" s="5" t="s">
        <v>534</v>
      </c>
      <c r="T47" s="5" t="s">
        <v>535</v>
      </c>
      <c r="V47" t="str">
        <f t="shared" si="1"/>
        <v>ɪau|ㄧㄠ|ㄏㄧㄠ|ㄅㄧㄠ|ㄆㄧㄠ|ㆠㄧㄠ|ㄇㄧㄠ|ㄉㄧㄠ|ㄊㄧㄠ|ㄋㄧㄠ|ㄌㄧㄠ|ㄐㄧㄠ|ㄑㄧㄠ|ㆢㄧㄠ|ㄒㄧㄠ|ㄍㄧㄠ|ㄎㄧㄠ|ㆣㄧㄠ|ㄫㄧㄠ</v>
      </c>
      <c r="AF47" t="str">
        <f t="shared" si="0"/>
        <v>|ɪau|ㄧㄠ|ㄏㄧㄠ|ㄅㄧㄠ|ㄆㄧㄠ|ㆠㄧㄠ|ㄇㄧㄠ|ㄉㄧㄠ|ㄊㄧㄠ|ㄋㄧㄠ|ㄌㄧㄠ|ㄐㄧㄠ|ㄑㄧㄠ|ㆢㄧㄠ|ㄒㄧㄠ|ㄍㄧㄠ|ㄎㄧㄠ|ㆣㄧㄠ|ㄫㄧㄠ|</v>
      </c>
    </row>
    <row r="48" spans="2:32">
      <c r="B48" s="6" t="s">
        <v>536</v>
      </c>
      <c r="C48" s="5" t="s">
        <v>537</v>
      </c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V48" t="str">
        <f t="shared" si="1"/>
        <v>ɪãu|ㄧㆯ|||||||||||||||||</v>
      </c>
      <c r="AF48" t="str">
        <f t="shared" si="0"/>
        <v>|ɪãu|ㄧㆯ||||||||||||||||||</v>
      </c>
    </row>
    <row r="49" spans="2:32">
      <c r="B49" s="6" t="s">
        <v>538</v>
      </c>
      <c r="C49" s="5" t="s">
        <v>539</v>
      </c>
      <c r="D49" s="5" t="s">
        <v>540</v>
      </c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 t="s">
        <v>541</v>
      </c>
      <c r="S49" s="5"/>
      <c r="T49" s="5" t="s">
        <v>542</v>
      </c>
      <c r="V49" t="str">
        <f t="shared" si="1"/>
        <v>ɪauʔ|ㄧㄠㆷ|ㄏㄧㄠㆷ||||||||||||||ㄎㄧㄠㆷ||ㄫㄧㄠㆷ</v>
      </c>
      <c r="AF49" t="str">
        <f t="shared" si="0"/>
        <v>|ɪauʔ|ㄧㄠㆷ|ㄏㄧㄠㆷ||||||||||||||ㄎㄧㄠㆷ||ㄫㄧㄠㆷ|</v>
      </c>
    </row>
    <row r="50" spans="2:32">
      <c r="B50" s="6" t="s">
        <v>543</v>
      </c>
      <c r="C50" s="5" t="s">
        <v>544</v>
      </c>
      <c r="D50" s="5" t="s">
        <v>545</v>
      </c>
      <c r="E50" s="5" t="s">
        <v>546</v>
      </c>
      <c r="F50" s="5" t="s">
        <v>547</v>
      </c>
      <c r="G50" s="5" t="s">
        <v>548</v>
      </c>
      <c r="H50" s="5"/>
      <c r="I50" s="5" t="s">
        <v>549</v>
      </c>
      <c r="J50" s="5" t="s">
        <v>550</v>
      </c>
      <c r="K50" s="5"/>
      <c r="L50" s="5" t="s">
        <v>551</v>
      </c>
      <c r="M50" s="5" t="s">
        <v>552</v>
      </c>
      <c r="N50" s="5" t="s">
        <v>553</v>
      </c>
      <c r="O50" s="5" t="s">
        <v>554</v>
      </c>
      <c r="P50" s="5" t="s">
        <v>555</v>
      </c>
      <c r="Q50" s="5" t="s">
        <v>556</v>
      </c>
      <c r="R50" s="5" t="s">
        <v>557</v>
      </c>
      <c r="S50" s="5" t="s">
        <v>558</v>
      </c>
      <c r="T50" s="5"/>
      <c r="V50" t="str">
        <f t="shared" si="1"/>
        <v>ɪə/ɪo|ㄧㄜ|ㄏㄧㄜ|ㄅㄧㄜ|ㄆㄧㄜ|ㆠㄧㄜ||ㄉㄧㄜ|ㄊㄧㄜ||ㄌㄧㄜ|ㄐㄧㄜ|ㄑㄧㄜ|ㆢㄧㄜ|ㄒㄧㄜ|ㄍㄧㄜ|ㄎㄧㄜ|ㆣㄧㄜ|</v>
      </c>
      <c r="AF50" t="str">
        <f t="shared" si="0"/>
        <v>|ɪə/ɪo|ㄧㄜ|ㄏㄧㄜ|ㄅㄧㄜ|ㄆㄧㄜ|ㆠㄧㄜ||ㄉㄧㄜ|ㄊㄧㄜ||ㄌㄧㄜ|ㄐㄧㄜ|ㄑㄧㄜ|ㆢㄧㄜ|ㄒㄧㄜ|ㄍㄧㄜ|ㄎㄧㄜ|ㆣㄧㄜ||</v>
      </c>
    </row>
    <row r="51" spans="2:32">
      <c r="B51" s="6" t="s">
        <v>559</v>
      </c>
      <c r="C51" s="5" t="s">
        <v>560</v>
      </c>
      <c r="D51" s="5" t="s">
        <v>561</v>
      </c>
      <c r="E51" s="5"/>
      <c r="F51" s="5"/>
      <c r="G51" s="5"/>
      <c r="H51" s="5"/>
      <c r="I51" s="5" t="s">
        <v>562</v>
      </c>
      <c r="J51" s="5"/>
      <c r="K51" s="5"/>
      <c r="L51" s="5"/>
      <c r="M51" s="5" t="s">
        <v>563</v>
      </c>
      <c r="N51" s="5" t="s">
        <v>564</v>
      </c>
      <c r="O51" s="5"/>
      <c r="P51" s="5" t="s">
        <v>565</v>
      </c>
      <c r="Q51" s="5" t="s">
        <v>566</v>
      </c>
      <c r="R51" s="5" t="s">
        <v>567</v>
      </c>
      <c r="S51" s="5"/>
      <c r="T51" s="5"/>
      <c r="V51" t="str">
        <f t="shared" si="1"/>
        <v>ɪɔ̃|ㄧㆧ|ㄏㄧㆧ|||||ㄉㄧㆧ||||ㄐㄧㆧ|ㄑㄧㆧ||ㄒㄧㆧ|ㄍㄧㆧ|ㄎㄧㆧ||</v>
      </c>
      <c r="AF51" t="str">
        <f t="shared" si="0"/>
        <v>|ɪɔ̃|ㄧㆧ|ㄏㄧㆧ|||||ㄉㄧㆧ||||ㄐㄧㆧ|ㄑㄧㆧ||ㄒㄧㆧ|ㄍㄧㆧ|ㄎㄧㆧ|||</v>
      </c>
    </row>
    <row r="52" spans="2:32">
      <c r="B52" s="6" t="s">
        <v>568</v>
      </c>
      <c r="C52" s="5" t="s">
        <v>569</v>
      </c>
      <c r="D52" s="5" t="s">
        <v>570</v>
      </c>
      <c r="E52" s="5"/>
      <c r="F52" s="5"/>
      <c r="G52" s="5"/>
      <c r="H52" s="5"/>
      <c r="I52" s="5" t="s">
        <v>571</v>
      </c>
      <c r="J52" s="5"/>
      <c r="K52" s="5"/>
      <c r="L52" s="5" t="s">
        <v>572</v>
      </c>
      <c r="M52" s="5" t="s">
        <v>573</v>
      </c>
      <c r="N52" s="5" t="s">
        <v>574</v>
      </c>
      <c r="O52" s="5"/>
      <c r="P52" s="5" t="s">
        <v>575</v>
      </c>
      <c r="Q52" s="5" t="s">
        <v>576</v>
      </c>
      <c r="R52" s="5" t="s">
        <v>577</v>
      </c>
      <c r="S52" s="5" t="s">
        <v>578</v>
      </c>
      <c r="T52" s="5"/>
      <c r="V52" t="str">
        <f t="shared" si="1"/>
        <v>ɪəʔ/ɪoʔ|ㄧㄜㆷ|ㄏㄧㄜㆷ|||||ㄉㄧㄜㆷ|||ㄌㄧㄜㆷ|ㄐㄧㄜㆷ|ㄑㄧㄜㆷ||ㄒㄧㄜㆷ|ㄍㄧㄜㆷ|ㄎㄧㄜㆷ|ㆣㄧㄜㆷ|</v>
      </c>
      <c r="AF52" t="str">
        <f t="shared" si="0"/>
        <v>|ɪəʔ/ɪoʔ|ㄧㄜㆷ|ㄏㄧㄜㆷ|||||ㄉㄧㄜㆷ|||ㄌㄧㄜㆷ|ㄐㄧㄜㆷ|ㄑㄧㄜㆷ||ㄒㄧㄜㆷ|ㄍㄧㄜㆷ|ㄎㄧㄜㆷ|ㆣㄧㄜㆷ||</v>
      </c>
    </row>
    <row r="53" spans="2:32">
      <c r="B53" s="6" t="s">
        <v>579</v>
      </c>
      <c r="C53" s="5" t="s">
        <v>580</v>
      </c>
      <c r="D53" s="5" t="s">
        <v>581</v>
      </c>
      <c r="E53" s="5"/>
      <c r="F53" s="5"/>
      <c r="G53" s="5"/>
      <c r="H53" s="5"/>
      <c r="I53" s="5" t="s">
        <v>582</v>
      </c>
      <c r="J53" s="5" t="s">
        <v>583</v>
      </c>
      <c r="K53" s="5"/>
      <c r="L53" s="5" t="s">
        <v>584</v>
      </c>
      <c r="M53" s="5" t="s">
        <v>585</v>
      </c>
      <c r="N53" s="5" t="s">
        <v>586</v>
      </c>
      <c r="O53" s="5" t="s">
        <v>587</v>
      </c>
      <c r="P53" s="5" t="s">
        <v>588</v>
      </c>
      <c r="Q53" s="5" t="s">
        <v>589</v>
      </c>
      <c r="R53" s="5" t="s">
        <v>590</v>
      </c>
      <c r="S53" s="5" t="s">
        <v>591</v>
      </c>
      <c r="T53" s="5"/>
      <c r="V53" t="str">
        <f t="shared" si="1"/>
        <v>ɪɔŋ|ㄧㆲ|ㄏㄧㆲ|||||ㄉㄧㆲ|ㄊㄧㆲ||ㄌㄧㆲ|ㄐㄧㆲ|ㄑㄧㆲ|ㆢㄧㆲ|ㄒㄧㆲ|ㄍㄧㆲ|ㄎㄧㆲ|ㆣㄧㆲ|</v>
      </c>
      <c r="AF53" t="str">
        <f t="shared" si="0"/>
        <v>|ɪɔŋ|ㄧㆲ|ㄏㄧㆲ|||||ㄉㄧㆲ|ㄊㄧㆲ||ㄌㄧㆲ|ㄐㄧㆲ|ㄑㄧㆲ|ㆢㄧㆲ|ㄒㄧㆲ|ㄍㄧㆲ|ㄎㄧㆲ|ㆣㄧㆲ||</v>
      </c>
    </row>
    <row r="54" spans="2:32">
      <c r="B54" s="6" t="s">
        <v>592</v>
      </c>
      <c r="C54" s="5" t="s">
        <v>593</v>
      </c>
      <c r="D54" s="5" t="s">
        <v>594</v>
      </c>
      <c r="E54" s="5"/>
      <c r="F54" s="5"/>
      <c r="G54" s="5"/>
      <c r="H54" s="5"/>
      <c r="I54" s="5" t="s">
        <v>595</v>
      </c>
      <c r="J54" s="5" t="s">
        <v>596</v>
      </c>
      <c r="K54" s="5"/>
      <c r="L54" s="5" t="s">
        <v>597</v>
      </c>
      <c r="M54" s="5" t="s">
        <v>598</v>
      </c>
      <c r="N54" s="5" t="s">
        <v>599</v>
      </c>
      <c r="O54" s="5" t="s">
        <v>600</v>
      </c>
      <c r="P54" s="5" t="s">
        <v>601</v>
      </c>
      <c r="Q54" s="5" t="s">
        <v>602</v>
      </c>
      <c r="R54" s="5" t="s">
        <v>603</v>
      </c>
      <c r="S54" s="5" t="s">
        <v>604</v>
      </c>
      <c r="T54" s="5"/>
      <c r="V54" t="str">
        <f t="shared" si="1"/>
        <v>ɪɔk̚|ㄧㆦㆻ|ㄏㄧㆦㆻ|||||ㄉㄧㆦㆻ|ㄊㄧㆦㆻ||ㄌㄧㆦㆻ|ㄐㄧㆦㆻ|ㄑㄧㆦㆻ|ㆢㄧㆦㆻ|ㄒㄧㆦㆻ|ㄍㄧㆦㆻ|ㄎㄧㆦㆻ|ㆣㄧㆦㆻ|</v>
      </c>
      <c r="AF54" t="str">
        <f t="shared" si="0"/>
        <v>|ɪɔk̚|ㄧㆦㆻ|ㄏㄧㆦㆻ|||||ㄉㄧㆦㆻ|ㄊㄧㆦㆻ||ㄌㄧㆦㆻ|ㄐㄧㆦㆻ|ㄑㄧㆦㆻ|ㆢㄧㆦㆻ|ㄒㄧㆦㆻ|ㄍㄧㆦㆻ|ㄎㄧㆦㆻ|ㆣㄧㆦㆻ||</v>
      </c>
    </row>
    <row r="55" spans="2:32">
      <c r="B55" s="6" t="s">
        <v>605</v>
      </c>
      <c r="C55" s="5" t="s">
        <v>606</v>
      </c>
      <c r="D55" s="5" t="s">
        <v>607</v>
      </c>
      <c r="E55" s="5" t="s">
        <v>608</v>
      </c>
      <c r="F55" s="5"/>
      <c r="G55" s="5" t="s">
        <v>609</v>
      </c>
      <c r="H55" s="5"/>
      <c r="I55" s="5" t="s">
        <v>610</v>
      </c>
      <c r="J55" s="5" t="s">
        <v>611</v>
      </c>
      <c r="K55" s="5" t="s">
        <v>612</v>
      </c>
      <c r="L55" s="5" t="s">
        <v>613</v>
      </c>
      <c r="M55" s="5" t="s">
        <v>614</v>
      </c>
      <c r="N55" s="5" t="s">
        <v>615</v>
      </c>
      <c r="O55" s="5" t="s">
        <v>616</v>
      </c>
      <c r="P55" s="5" t="s">
        <v>617</v>
      </c>
      <c r="Q55" s="5" t="s">
        <v>618</v>
      </c>
      <c r="R55" s="5" t="s">
        <v>619</v>
      </c>
      <c r="S55" s="5" t="s">
        <v>620</v>
      </c>
      <c r="T55" s="5" t="s">
        <v>621</v>
      </c>
      <c r="V55" t="str">
        <f t="shared" si="1"/>
        <v>iu|ㄧㄨ|ㄏㄧㄨ|ㄅㄧㄨ||ㆠㄧㄨ||ㄉㄧㄨ|ㄊㄧㄨ|ㄋㄧㄨ|ㄌㄧㄨ|ㄐㄧㄨ|ㄑㄧㄨ|ㆢㄧㄨ|ㄒㄧㄨ|ㄍㄧㄨ|ㄎㄧㄨ|ㆣㄧㄨ|ㄫㄧㄨ</v>
      </c>
      <c r="AF55" t="str">
        <f t="shared" si="0"/>
        <v>|iu|ㄧㄨ|ㄏㄧㄨ|ㄅㄧㄨ||ㆠㄧㄨ||ㄉㄧㄨ|ㄊㄧㄨ|ㄋㄧㄨ|ㄌㄧㄨ|ㄐㄧㄨ|ㄑㄧㄨ|ㆢㄧㄨ|ㄒㄧㄨ|ㄍㄧㄨ|ㄎㄧㄨ|ㆣㄧㄨ|ㄫㄧㄨ|</v>
      </c>
    </row>
    <row r="56" spans="2:32">
      <c r="B56" s="6" t="s">
        <v>622</v>
      </c>
      <c r="C56" s="5" t="s">
        <v>623</v>
      </c>
      <c r="D56" s="5" t="s">
        <v>624</v>
      </c>
      <c r="E56" s="5"/>
      <c r="F56" s="5"/>
      <c r="G56" s="5"/>
      <c r="H56" s="5"/>
      <c r="I56" s="5" t="s">
        <v>625</v>
      </c>
      <c r="J56" s="5"/>
      <c r="K56" s="5"/>
      <c r="L56" s="5"/>
      <c r="M56" s="5" t="s">
        <v>626</v>
      </c>
      <c r="N56" s="5" t="s">
        <v>627</v>
      </c>
      <c r="O56" s="5"/>
      <c r="P56" s="5" t="s">
        <v>628</v>
      </c>
      <c r="Q56" s="5" t="s">
        <v>629</v>
      </c>
      <c r="R56" s="5" t="s">
        <v>630</v>
      </c>
      <c r="S56" s="5"/>
      <c r="T56" s="5"/>
      <c r="V56" t="str">
        <f t="shared" si="1"/>
        <v>iũ|ㄧㆫ|ㄏㄧㆫ|||||ㄉㄧㆫ||||ㄐㄧㆫ|ㄑㄧㆫ||ㄒㄧㆫ|ㄍㄧㆫ|ㄎㄧㆫ||</v>
      </c>
      <c r="AF56" t="str">
        <f t="shared" si="0"/>
        <v>|iũ|ㄧㆫ|ㄏㄧㆫ|||||ㄉㄧㆫ||||ㄐㄧㆫ|ㄑㄧㆫ||ㄒㄧㆫ|ㄍㄧㆫ|ㄎㄧㆫ|||</v>
      </c>
    </row>
    <row r="57" spans="2:32">
      <c r="B57" s="6" t="s">
        <v>631</v>
      </c>
      <c r="C57" s="5" t="s">
        <v>632</v>
      </c>
      <c r="D57" s="5" t="s">
        <v>633</v>
      </c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V57" t="str">
        <f t="shared" si="1"/>
        <v>iũʔ|ㄧㆫㆷ|ㄏㄧㆫㆷ||||||||||||||||</v>
      </c>
      <c r="AF57" t="str">
        <f t="shared" si="0"/>
        <v>|iũʔ|ㄧㆫㆷ|ㄏㄧㆫㆷ|||||||||||||||||</v>
      </c>
    </row>
    <row r="58" spans="2:32">
      <c r="B58" s="6"/>
      <c r="C58" s="5" t="s">
        <v>1</v>
      </c>
      <c r="D58" s="5" t="s">
        <v>2</v>
      </c>
      <c r="E58" s="5" t="s">
        <v>3</v>
      </c>
      <c r="F58" s="5" t="s">
        <v>4</v>
      </c>
      <c r="G58" s="5" t="s">
        <v>5</v>
      </c>
      <c r="H58" s="5" t="s">
        <v>6</v>
      </c>
      <c r="I58" s="5" t="s">
        <v>7</v>
      </c>
      <c r="J58" s="5" t="s">
        <v>8</v>
      </c>
      <c r="K58" s="5" t="s">
        <v>9</v>
      </c>
      <c r="L58" s="5" t="s">
        <v>10</v>
      </c>
      <c r="M58" s="5" t="s">
        <v>11</v>
      </c>
      <c r="N58" s="5" t="s">
        <v>12</v>
      </c>
      <c r="O58" s="5" t="s">
        <v>13</v>
      </c>
      <c r="P58" s="5" t="s">
        <v>14</v>
      </c>
      <c r="Q58" s="5" t="s">
        <v>15</v>
      </c>
      <c r="R58" s="5" t="s">
        <v>16</v>
      </c>
      <c r="S58" s="5" t="s">
        <v>17</v>
      </c>
      <c r="T58" s="5" t="s">
        <v>18</v>
      </c>
      <c r="V58" t="str">
        <f t="shared" si="1"/>
        <v>|Ø|h|p|pʰ|b|m|t|tʰ|n|l|ʦ/ʨ|ʦʰ/ʨʰ|ʣ/ʥ|s/ɕ|k|kʰ|g|ŋ</v>
      </c>
      <c r="AF58" t="str">
        <f t="shared" si="0"/>
        <v>||Ø|h|p|pʰ|b|m|t|tʰ|n|l|ʦ/ʨ|ʦʰ/ʨʰ|ʣ/ʥ|s/ɕ|k|kʰ|g|ŋ|</v>
      </c>
    </row>
    <row r="59" spans="2:32">
      <c r="B59" s="6" t="s">
        <v>634</v>
      </c>
      <c r="C59" s="5" t="s">
        <v>635</v>
      </c>
      <c r="D59" s="5" t="s">
        <v>636</v>
      </c>
      <c r="E59" s="5" t="s">
        <v>637</v>
      </c>
      <c r="F59" s="5" t="s">
        <v>638</v>
      </c>
      <c r="G59" s="5" t="s">
        <v>639</v>
      </c>
      <c r="H59" s="5"/>
      <c r="I59" s="5" t="s">
        <v>640</v>
      </c>
      <c r="J59" s="5" t="s">
        <v>641</v>
      </c>
      <c r="K59" s="5"/>
      <c r="L59" s="5" t="s">
        <v>642</v>
      </c>
      <c r="M59" s="5" t="s">
        <v>643</v>
      </c>
      <c r="N59" s="5" t="s">
        <v>644</v>
      </c>
      <c r="O59" s="5"/>
      <c r="P59" s="5" t="s">
        <v>645</v>
      </c>
      <c r="Q59" s="5" t="s">
        <v>646</v>
      </c>
      <c r="R59" s="5" t="s">
        <v>647</v>
      </c>
      <c r="S59" s="5" t="s">
        <v>648</v>
      </c>
      <c r="T59" s="5"/>
      <c r="V59" t="str">
        <f t="shared" si="1"/>
        <v>ə/o|ㄜ|ㄏㄜ|ㄅㄜ|ㄆㄜ|ㆠㄜ||ㄉㄜ|ㄊㄜ||ㄌㄜ|ㄗㄜ|ㄘㄜ||ㄙㄜ|ㄍㄜ|ㄎㄜ|ㆣㄜ|</v>
      </c>
      <c r="AF59" t="str">
        <f t="shared" si="0"/>
        <v>|ə/o|ㄜ|ㄏㄜ|ㄅㄜ|ㄆㄜ|ㆠㄜ||ㄉㄜ|ㄊㄜ||ㄌㄜ|ㄗㄜ|ㄘㄜ||ㄙㄜ|ㄍㄜ|ㄎㄜ|ㆣㄜ||</v>
      </c>
    </row>
    <row r="60" spans="2:32">
      <c r="B60" s="6" t="s">
        <v>649</v>
      </c>
      <c r="C60" s="5" t="s">
        <v>650</v>
      </c>
      <c r="D60" s="5" t="s">
        <v>651</v>
      </c>
      <c r="E60" s="5" t="s">
        <v>652</v>
      </c>
      <c r="F60" s="5" t="s">
        <v>653</v>
      </c>
      <c r="G60" s="5" t="s">
        <v>654</v>
      </c>
      <c r="H60" s="5" t="s">
        <v>655</v>
      </c>
      <c r="I60" s="5" t="s">
        <v>656</v>
      </c>
      <c r="J60" s="5" t="s">
        <v>657</v>
      </c>
      <c r="K60" s="5" t="s">
        <v>658</v>
      </c>
      <c r="L60" s="5" t="s">
        <v>659</v>
      </c>
      <c r="M60" s="5" t="s">
        <v>660</v>
      </c>
      <c r="N60" s="5" t="s">
        <v>661</v>
      </c>
      <c r="O60" s="5"/>
      <c r="P60" s="5" t="s">
        <v>662</v>
      </c>
      <c r="Q60" s="5" t="s">
        <v>663</v>
      </c>
      <c r="R60" s="5" t="s">
        <v>664</v>
      </c>
      <c r="S60" s="5" t="s">
        <v>665</v>
      </c>
      <c r="T60" s="5" t="s">
        <v>666</v>
      </c>
      <c r="V60" t="str">
        <f t="shared" si="1"/>
        <v>ɔ|ㆦ|ㄏㆦ|ㄅㆦ|ㄆㆦ|ㆠㆦ|ㄇㆦ|ㄉㆦ|ㄊㆦ|ㄋㆦ|ㄌㆦ|ㄗㆦ|ㄘㆦ||ㄙㆦ|ㄍㆦ|ㄎㆦ|ㆣㆦ|ㄫㆦ</v>
      </c>
      <c r="AF60" t="str">
        <f t="shared" si="0"/>
        <v>|ɔ|ㆦ|ㄏㆦ|ㄅㆦ|ㄆㆦ|ㆠㆦ|ㄇㆦ|ㄉㆦ|ㄊㆦ|ㄋㆦ|ㄌㆦ|ㄗㆦ|ㄘㆦ||ㄙㆦ|ㄍㆦ|ㄎㆦ|ㆣㆦ|ㄫㆦ|</v>
      </c>
    </row>
    <row r="61" spans="2:32">
      <c r="B61" s="6" t="s">
        <v>667</v>
      </c>
      <c r="C61" s="5" t="s">
        <v>668</v>
      </c>
      <c r="D61" s="5" t="s">
        <v>669</v>
      </c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 t="s">
        <v>670</v>
      </c>
      <c r="R61" s="5"/>
      <c r="S61" s="5"/>
      <c r="T61" s="5"/>
      <c r="V61" t="str">
        <f t="shared" si="1"/>
        <v>ɔ̃|ㆧ|ㄏㆧ|||||||||||||ㄍㆧ|||</v>
      </c>
      <c r="AF61" t="str">
        <f t="shared" si="0"/>
        <v>|ɔ̃|ㆧ|ㄏㆧ|||||||||||||ㄍㆧ||||</v>
      </c>
    </row>
    <row r="62" spans="2:32">
      <c r="B62" s="6" t="s">
        <v>671</v>
      </c>
      <c r="C62" s="5" t="s">
        <v>672</v>
      </c>
      <c r="D62" s="5" t="s">
        <v>673</v>
      </c>
      <c r="E62" s="5" t="s">
        <v>674</v>
      </c>
      <c r="F62" s="5" t="s">
        <v>675</v>
      </c>
      <c r="G62" s="5" t="s">
        <v>676</v>
      </c>
      <c r="H62" s="5"/>
      <c r="I62" s="5" t="s">
        <v>677</v>
      </c>
      <c r="J62" s="5" t="s">
        <v>678</v>
      </c>
      <c r="K62" s="5"/>
      <c r="L62" s="5" t="s">
        <v>679</v>
      </c>
      <c r="M62" s="5" t="s">
        <v>680</v>
      </c>
      <c r="N62" s="5" t="s">
        <v>681</v>
      </c>
      <c r="O62" s="5"/>
      <c r="P62" s="5" t="s">
        <v>682</v>
      </c>
      <c r="Q62" s="5" t="s">
        <v>683</v>
      </c>
      <c r="R62" s="5"/>
      <c r="S62" s="5"/>
      <c r="T62" s="5"/>
      <c r="V62" t="str">
        <f t="shared" si="1"/>
        <v>əʔ/oʔ|ㄜㆷ|ㄏㄜㆷ|ㄅㄜㆷ|ㄆㄜㆷ|ㆠㄜㆷ||ㄉㄜㆷ|ㄊㄜㆷ||ㄌㄜㆷ|ㄗㄜㆷ|ㄘㄜㆷ||ㄙㄜㆷ|ㄍㄜㆷ|||</v>
      </c>
      <c r="AF62" t="str">
        <f t="shared" si="0"/>
        <v>|əʔ/oʔ|ㄜㆷ|ㄏㄜㆷ|ㄅㄜㆷ|ㄆㄜㆷ|ㆠㄜㆷ||ㄉㄜㆷ|ㄊㄜㆷ||ㄌㄜㆷ|ㄗㄜㆷ|ㄘㄜㆷ||ㄙㄜㆷ|ㄍㄜㆷ||||</v>
      </c>
    </row>
    <row r="63" spans="2:32">
      <c r="B63" s="6" t="s">
        <v>684</v>
      </c>
      <c r="C63" s="5" t="s">
        <v>685</v>
      </c>
      <c r="D63" s="5" t="s">
        <v>686</v>
      </c>
      <c r="E63" s="5"/>
      <c r="F63" s="5"/>
      <c r="G63" s="5"/>
      <c r="H63" s="5" t="s">
        <v>687</v>
      </c>
      <c r="I63" s="5" t="s">
        <v>688</v>
      </c>
      <c r="J63" s="5"/>
      <c r="K63" s="5"/>
      <c r="L63" s="5" t="s">
        <v>689</v>
      </c>
      <c r="M63" s="5"/>
      <c r="N63" s="5"/>
      <c r="O63" s="5"/>
      <c r="P63" s="5"/>
      <c r="Q63" s="5" t="s">
        <v>690</v>
      </c>
      <c r="R63" s="5"/>
      <c r="S63" s="5"/>
      <c r="T63" s="5"/>
      <c r="V63" t="str">
        <f t="shared" si="1"/>
        <v>ɔʔ|ㆦㆷ|ㄏㆦㆷ||||ㄇㆦㆷ|ㄉㆦㆷ|||ㄌㆦㆷ|||||ㄍㆦㆷ|||</v>
      </c>
      <c r="AF63" t="str">
        <f t="shared" si="0"/>
        <v>|ɔʔ|ㆦㆷ|ㄏㆦㆷ||||ㄇㆦㆷ|ㄉㆦㆷ|||ㄌㆦㆷ|||||ㄍㆦㆷ||||</v>
      </c>
    </row>
    <row r="64" spans="2:32">
      <c r="B64" s="6" t="s">
        <v>691</v>
      </c>
      <c r="C64" s="5" t="s">
        <v>692</v>
      </c>
      <c r="D64" s="5" t="s">
        <v>693</v>
      </c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V64" t="str">
        <f t="shared" si="1"/>
        <v>ɔ̃ʔ|ㆧㆷ|ㄏㆧㆷ||||||||||||||||</v>
      </c>
      <c r="AF64" t="str">
        <f t="shared" si="0"/>
        <v>|ɔ̃ʔ|ㆧㆷ|ㄏㆧㆷ|||||||||||||||||</v>
      </c>
    </row>
    <row r="65" spans="2:32">
      <c r="B65" s="6" t="s">
        <v>694</v>
      </c>
      <c r="C65" s="5" t="s">
        <v>695</v>
      </c>
      <c r="D65" s="5"/>
      <c r="E65" s="5"/>
      <c r="F65" s="5"/>
      <c r="G65" s="5"/>
      <c r="H65" s="5"/>
      <c r="I65" s="5" t="s">
        <v>696</v>
      </c>
      <c r="J65" s="5"/>
      <c r="K65" s="5"/>
      <c r="L65" s="5"/>
      <c r="M65" s="5"/>
      <c r="N65" s="5"/>
      <c r="O65" s="5"/>
      <c r="P65" s="5" t="s">
        <v>697</v>
      </c>
      <c r="Q65" s="5"/>
      <c r="R65" s="5"/>
      <c r="S65" s="5"/>
      <c r="T65" s="5"/>
      <c r="V65" t="str">
        <f t="shared" si="1"/>
        <v>ɔm|ㆱ||||||ㄉㆱ|||||||ㄙㆱ||||</v>
      </c>
      <c r="AF65" t="str">
        <f t="shared" si="0"/>
        <v>|ɔm|ㆱ||||||ㄉㆱ|||||||ㄙㆱ|||||</v>
      </c>
    </row>
    <row r="66" spans="2:32">
      <c r="B66" s="6" t="s">
        <v>698</v>
      </c>
      <c r="C66" s="5" t="s">
        <v>699</v>
      </c>
      <c r="D66" s="5" t="s">
        <v>700</v>
      </c>
      <c r="E66" s="5" t="s">
        <v>701</v>
      </c>
      <c r="F66" s="5" t="s">
        <v>702</v>
      </c>
      <c r="G66" s="5" t="s">
        <v>703</v>
      </c>
      <c r="H66" s="5"/>
      <c r="I66" s="5" t="s">
        <v>704</v>
      </c>
      <c r="J66" s="5" t="s">
        <v>705</v>
      </c>
      <c r="K66" s="5"/>
      <c r="L66" s="5" t="s">
        <v>706</v>
      </c>
      <c r="M66" s="5" t="s">
        <v>707</v>
      </c>
      <c r="N66" s="5" t="s">
        <v>708</v>
      </c>
      <c r="O66" s="5"/>
      <c r="P66" s="5" t="s">
        <v>709</v>
      </c>
      <c r="Q66" s="5" t="s">
        <v>710</v>
      </c>
      <c r="R66" s="5" t="s">
        <v>711</v>
      </c>
      <c r="S66" s="5" t="s">
        <v>712</v>
      </c>
      <c r="T66" s="5"/>
      <c r="V66" t="str">
        <f t="shared" si="1"/>
        <v>ɔŋ|ㆲ|ㄏㆲ|ㄅㆲ|ㄆㆲ|ㆠㆲ||ㄉㆲ|ㄊㆲ||ㄌㆲ|ㄗㆲ|ㄘㆲ||ㄙㆲ|ㄍㆲ|ㄎㆲ|ㆣㆲ|</v>
      </c>
      <c r="AF66" t="str">
        <f t="shared" si="0"/>
        <v>|ɔŋ|ㆲ|ㄏㆲ|ㄅㆲ|ㄆㆲ|ㆠㆲ||ㄉㆲ|ㄊㆲ||ㄌㆲ|ㄗㆲ|ㄘㆲ||ㄙㆲ|ㄍㆲ|ㄎㆲ|ㆣㆲ||</v>
      </c>
    </row>
    <row r="67" spans="2:32">
      <c r="B67" s="6" t="s">
        <v>713</v>
      </c>
      <c r="C67" s="5" t="s">
        <v>714</v>
      </c>
      <c r="D67" s="5" t="s">
        <v>715</v>
      </c>
      <c r="E67" s="5"/>
      <c r="F67" s="5"/>
      <c r="G67" s="5"/>
      <c r="H67" s="5"/>
      <c r="I67" s="5"/>
      <c r="J67" s="5"/>
      <c r="K67" s="5"/>
      <c r="L67" s="5" t="s">
        <v>716</v>
      </c>
      <c r="M67" s="5"/>
      <c r="N67" s="5"/>
      <c r="O67" s="5"/>
      <c r="P67" s="5"/>
      <c r="Q67" s="5" t="s">
        <v>717</v>
      </c>
      <c r="R67" s="5"/>
      <c r="S67" s="5"/>
      <c r="T67" s="5"/>
      <c r="V67" t="str">
        <f t="shared" si="1"/>
        <v>ɔp̚|ㆦㆴ|ㄏㆦㆴ||||||||ㄌㆦㆴ|||||ㄍㆦㆴ|||</v>
      </c>
      <c r="AF67" t="str">
        <f t="shared" si="0"/>
        <v>|ɔp̚|ㆦㆴ|ㄏㆦㆴ||||||||ㄌㆦㆴ|||||ㄍㆦㆴ||||</v>
      </c>
    </row>
    <row r="68" spans="2:32">
      <c r="B68" s="6" t="s">
        <v>718</v>
      </c>
      <c r="C68" s="5" t="s">
        <v>719</v>
      </c>
      <c r="D68" s="5" t="s">
        <v>720</v>
      </c>
      <c r="E68" s="5" t="s">
        <v>721</v>
      </c>
      <c r="F68" s="5" t="s">
        <v>722</v>
      </c>
      <c r="G68" s="5" t="s">
        <v>723</v>
      </c>
      <c r="H68" s="5"/>
      <c r="I68" s="5" t="s">
        <v>724</v>
      </c>
      <c r="J68" s="5" t="s">
        <v>725</v>
      </c>
      <c r="K68" s="5"/>
      <c r="L68" s="5" t="s">
        <v>726</v>
      </c>
      <c r="M68" s="5" t="s">
        <v>727</v>
      </c>
      <c r="N68" s="5" t="s">
        <v>728</v>
      </c>
      <c r="O68" s="5"/>
      <c r="P68" s="5" t="s">
        <v>729</v>
      </c>
      <c r="Q68" s="5" t="s">
        <v>730</v>
      </c>
      <c r="R68" s="5" t="s">
        <v>731</v>
      </c>
      <c r="S68" s="5" t="s">
        <v>732</v>
      </c>
      <c r="T68" s="5"/>
      <c r="V68" t="str">
        <f t="shared" si="1"/>
        <v>ɔk̚|ㆦㆻ|ㄏㆦㆻ|ㄅㆦㆻ|ㄆㆦㆻ|ㆠㆦㆻ||ㄉㆦㆻ|ㄊㆦㆻ||ㄌㆦㆻ|ㄗㆦㆻ|ㄘㆦㆻ||ㄙㆦㆻ|ㄍㆦㆻ|ㄎㆦㆻ|ㆣㆦㆻ|</v>
      </c>
      <c r="AF68" t="str">
        <f t="shared" si="0"/>
        <v>|ɔk̚|ㆦㆻ|ㄏㆦㆻ|ㄅㆦㆻ|ㄆㆦㆻ|ㆠㆦㆻ||ㄉㆦㆻ|ㄊㆦㆻ||ㄌㆦㆻ|ㄗㆦㆻ|ㄘㆦㆻ||ㄙㆦㆻ|ㄍㆦㆻ|ㄎㆦㆻ|ㆣㆦㆻ||</v>
      </c>
    </row>
    <row r="69" spans="2:32">
      <c r="B69" s="6"/>
      <c r="C69" s="5" t="s">
        <v>1</v>
      </c>
      <c r="D69" s="5" t="s">
        <v>2</v>
      </c>
      <c r="E69" s="5" t="s">
        <v>3</v>
      </c>
      <c r="F69" s="5" t="s">
        <v>4</v>
      </c>
      <c r="G69" s="5" t="s">
        <v>5</v>
      </c>
      <c r="H69" s="5" t="s">
        <v>6</v>
      </c>
      <c r="I69" s="5" t="s">
        <v>7</v>
      </c>
      <c r="J69" s="5" t="s">
        <v>8</v>
      </c>
      <c r="K69" s="5" t="s">
        <v>9</v>
      </c>
      <c r="L69" s="5" t="s">
        <v>10</v>
      </c>
      <c r="M69" s="5" t="s">
        <v>11</v>
      </c>
      <c r="N69" s="5" t="s">
        <v>12</v>
      </c>
      <c r="O69" s="5" t="s">
        <v>13</v>
      </c>
      <c r="P69" s="5" t="s">
        <v>14</v>
      </c>
      <c r="Q69" s="5" t="s">
        <v>15</v>
      </c>
      <c r="R69" s="5" t="s">
        <v>16</v>
      </c>
      <c r="S69" s="5" t="s">
        <v>17</v>
      </c>
      <c r="T69" s="5" t="s">
        <v>18</v>
      </c>
      <c r="V69" t="str">
        <f t="shared" si="1"/>
        <v>|Ø|h|p|pʰ|b|m|t|tʰ|n|l|ʦ/ʨ|ʦʰ/ʨʰ|ʣ/ʥ|s/ɕ|k|kʰ|g|ŋ</v>
      </c>
      <c r="AF69" t="str">
        <f t="shared" si="0"/>
        <v>||Ø|h|p|pʰ|b|m|t|tʰ|n|l|ʦ/ʨ|ʦʰ/ʨʰ|ʣ/ʥ|s/ɕ|k|kʰ|g|ŋ|</v>
      </c>
    </row>
    <row r="70" spans="2:32">
      <c r="B70" s="6" t="s">
        <v>733</v>
      </c>
      <c r="C70" s="5" t="s">
        <v>734</v>
      </c>
      <c r="D70" s="5" t="s">
        <v>735</v>
      </c>
      <c r="E70" s="5" t="s">
        <v>736</v>
      </c>
      <c r="F70" s="5" t="s">
        <v>737</v>
      </c>
      <c r="G70" s="5" t="s">
        <v>738</v>
      </c>
      <c r="H70" s="5"/>
      <c r="I70" s="5" t="s">
        <v>739</v>
      </c>
      <c r="J70" s="5" t="s">
        <v>740</v>
      </c>
      <c r="K70" s="5"/>
      <c r="L70" s="5" t="s">
        <v>741</v>
      </c>
      <c r="M70" s="5" t="s">
        <v>742</v>
      </c>
      <c r="N70" s="5" t="s">
        <v>743</v>
      </c>
      <c r="O70" s="5" t="s">
        <v>744</v>
      </c>
      <c r="P70" s="5" t="s">
        <v>745</v>
      </c>
      <c r="Q70" s="5" t="s">
        <v>746</v>
      </c>
      <c r="R70" s="5" t="s">
        <v>747</v>
      </c>
      <c r="S70" s="5" t="s">
        <v>748</v>
      </c>
      <c r="T70" s="5"/>
      <c r="V70" t="str">
        <f t="shared" si="1"/>
        <v>u|ㄨ|ㄏㄨ|ㄅㄨ|ㄆㄨ|ㆠㄨ||ㄉㄨ|ㄊㄨ||ㄌㄨ|ㄗㄨ|ㄘㄨ|ㆡㄨ|ㄙㄨ|ㄍㄨ|ㄎㄨ|ㆣㄨ|</v>
      </c>
      <c r="AF70" t="str">
        <f t="shared" ref="AF70:AF94" si="2" xml:space="preserve"> _xlfn.CONCAT("|", V70, "|")</f>
        <v>|u|ㄨ|ㄏㄨ|ㄅㄨ|ㄆㄨ|ㆠㄨ||ㄉㄨ|ㄊㄨ||ㄌㄨ|ㄗㄨ|ㄘㄨ|ㆡㄨ|ㄙㄨ|ㄍㄨ|ㄎㄨ|ㆣㄨ||</v>
      </c>
    </row>
    <row r="71" spans="2:32">
      <c r="B71" s="6" t="s">
        <v>749</v>
      </c>
      <c r="C71" s="5" t="s">
        <v>750</v>
      </c>
      <c r="D71" s="5"/>
      <c r="E71" s="5" t="s">
        <v>751</v>
      </c>
      <c r="F71" s="5" t="s">
        <v>752</v>
      </c>
      <c r="G71" s="5" t="s">
        <v>753</v>
      </c>
      <c r="H71" s="5"/>
      <c r="I71" s="5" t="s">
        <v>754</v>
      </c>
      <c r="J71" s="5" t="s">
        <v>755</v>
      </c>
      <c r="K71" s="5"/>
      <c r="L71" s="5" t="s">
        <v>756</v>
      </c>
      <c r="M71" s="5" t="s">
        <v>757</v>
      </c>
      <c r="N71" s="5" t="s">
        <v>758</v>
      </c>
      <c r="O71" s="5"/>
      <c r="P71" s="5" t="s">
        <v>759</v>
      </c>
      <c r="Q71" s="5"/>
      <c r="R71" s="5" t="s">
        <v>760</v>
      </c>
      <c r="S71" s="5"/>
      <c r="T71" s="5"/>
      <c r="V71" t="str">
        <f t="shared" ref="V71:V94" si="3" xml:space="preserve"> _xlfn.TEXTJOIN("|",FALSE,B71:T71)</f>
        <v>uʔ|ㄨㆷ||ㄅㄨㆷ|ㄆㄨㆷ|ㆠㄨㆷ||ㄉㄨㆷ|ㄊㄨㆷ||ㄌㄨㆷ|ㄗㄨㆷ|ㄘㄨㆷ||ㄙㄨㆷ||ㄎㄨㆷ||</v>
      </c>
      <c r="AF71" t="str">
        <f t="shared" si="2"/>
        <v>|uʔ|ㄨㆷ||ㄅㄨㆷ|ㄆㄨㆷ|ㆠㄨㆷ||ㄉㄨㆷ|ㄊㄨㆷ||ㄌㄨㆷ|ㄗㄨㆷ|ㄘㄨㆷ||ㄙㄨㆷ||ㄎㄨㆷ|||</v>
      </c>
    </row>
    <row r="72" spans="2:32">
      <c r="B72" s="6" t="s">
        <v>761</v>
      </c>
      <c r="C72" s="5" t="s">
        <v>762</v>
      </c>
      <c r="D72" s="5" t="s">
        <v>763</v>
      </c>
      <c r="E72" s="5" t="s">
        <v>764</v>
      </c>
      <c r="F72" s="5" t="s">
        <v>765</v>
      </c>
      <c r="G72" s="5" t="s">
        <v>766</v>
      </c>
      <c r="H72" s="5"/>
      <c r="I72" s="5" t="s">
        <v>767</v>
      </c>
      <c r="J72" s="5" t="s">
        <v>768</v>
      </c>
      <c r="K72" s="5"/>
      <c r="L72" s="5" t="s">
        <v>769</v>
      </c>
      <c r="M72" s="5" t="s">
        <v>770</v>
      </c>
      <c r="N72" s="5" t="s">
        <v>771</v>
      </c>
      <c r="O72" s="5" t="s">
        <v>772</v>
      </c>
      <c r="P72" s="5" t="s">
        <v>773</v>
      </c>
      <c r="Q72" s="5" t="s">
        <v>774</v>
      </c>
      <c r="R72" s="5" t="s">
        <v>775</v>
      </c>
      <c r="S72" s="5" t="s">
        <v>776</v>
      </c>
      <c r="T72" s="5"/>
      <c r="V72" t="str">
        <f t="shared" si="3"/>
        <v>un|ㄨㄣ|ㄏㄨㄣ|ㄅㄨㄣ|ㄆㄨㄣ|ㆠㄨㄣ||ㄉㄨㄣ|ㄊㄨㄣ||ㄌㄨㄣ|ㄗㄨㄣ|ㄘㄨㄣ|ㆡㄨㄣ|ㄙㄨㄣ|ㄍㄨㄣ|ㄎㄨㄣ|ㆣㄨㄣ|</v>
      </c>
      <c r="AF72" t="str">
        <f t="shared" si="2"/>
        <v>|un|ㄨㄣ|ㄏㄨㄣ|ㄅㄨㄣ|ㄆㄨㄣ|ㆠㄨㄣ||ㄉㄨㄣ|ㄊㄨㄣ||ㄌㄨㄣ|ㄗㄨㄣ|ㄘㄨㄣ|ㆡㄨㄣ|ㄙㄨㄣ|ㄍㄨㄣ|ㄎㄨㄣ|ㆣㄨㄣ||</v>
      </c>
    </row>
    <row r="73" spans="2:32">
      <c r="B73" s="6" t="s">
        <v>777</v>
      </c>
      <c r="C73" s="5" t="s">
        <v>778</v>
      </c>
      <c r="D73" s="5" t="s">
        <v>779</v>
      </c>
      <c r="E73" s="5" t="s">
        <v>780</v>
      </c>
      <c r="F73" s="5" t="s">
        <v>781</v>
      </c>
      <c r="G73" s="5" t="s">
        <v>782</v>
      </c>
      <c r="H73" s="5"/>
      <c r="I73" s="5" t="s">
        <v>783</v>
      </c>
      <c r="J73" s="5" t="s">
        <v>784</v>
      </c>
      <c r="K73" s="5"/>
      <c r="L73" s="5" t="s">
        <v>785</v>
      </c>
      <c r="M73" s="5" t="s">
        <v>786</v>
      </c>
      <c r="N73" s="5" t="s">
        <v>787</v>
      </c>
      <c r="O73" s="5"/>
      <c r="P73" s="5" t="s">
        <v>788</v>
      </c>
      <c r="Q73" s="5" t="s">
        <v>789</v>
      </c>
      <c r="R73" s="5" t="s">
        <v>790</v>
      </c>
      <c r="S73" s="5"/>
      <c r="T73" s="5"/>
      <c r="V73" t="str">
        <f t="shared" si="3"/>
        <v>ut̚|ㄨㆵ|ㄏㄨㆵ|ㄅㄨㆵ|ㄆㄨㆵ|ㆠㄨㆵ||ㄉㄨㆵ|ㄊㄨㆵ||ㄌㄨㆵ|ㄗㄨㆵ|ㄘㄨㆵ||ㄙㄨㆵ|ㄍㄨㆵ|ㄎㄨㆵ||</v>
      </c>
      <c r="AF73" t="str">
        <f t="shared" si="2"/>
        <v>|ut̚|ㄨㆵ|ㄏㄨㆵ|ㄅㄨㆵ|ㄆㄨㆵ|ㆠㄨㆵ||ㄉㄨㆵ|ㄊㄨㆵ||ㄌㄨㆵ|ㄗㄨㆵ|ㄘㄨㆵ||ㄙㄨㆵ|ㄍㄨㆵ|ㄎㄨㆵ|||</v>
      </c>
    </row>
    <row r="74" spans="2:32">
      <c r="B74" s="6" t="s">
        <v>791</v>
      </c>
      <c r="C74" s="5" t="s">
        <v>792</v>
      </c>
      <c r="D74" s="5" t="s">
        <v>793</v>
      </c>
      <c r="E74" s="5" t="s">
        <v>794</v>
      </c>
      <c r="F74" s="5" t="s">
        <v>795</v>
      </c>
      <c r="G74" s="5" t="s">
        <v>796</v>
      </c>
      <c r="H74" s="5" t="s">
        <v>797</v>
      </c>
      <c r="I74" s="5" t="s">
        <v>798</v>
      </c>
      <c r="J74" s="5" t="s">
        <v>799</v>
      </c>
      <c r="K74" s="5" t="s">
        <v>800</v>
      </c>
      <c r="L74" s="5" t="s">
        <v>801</v>
      </c>
      <c r="M74" s="5" t="s">
        <v>802</v>
      </c>
      <c r="N74" s="5" t="s">
        <v>803</v>
      </c>
      <c r="O74" s="5" t="s">
        <v>804</v>
      </c>
      <c r="P74" s="5" t="s">
        <v>805</v>
      </c>
      <c r="Q74" s="5" t="s">
        <v>806</v>
      </c>
      <c r="R74" s="5" t="s">
        <v>807</v>
      </c>
      <c r="S74" s="5" t="s">
        <v>808</v>
      </c>
      <c r="T74" s="5"/>
      <c r="V74" t="str">
        <f t="shared" si="3"/>
        <v>ua|ㄨㄚ|ㄏㄨㄚ|ㄅㄨㄚ|ㄆㄨㄚ|ㆠㄨㄚ|ㄇㄨㄚ|ㄉㄨㄚ|ㄊㄨㄚ|ㄋㄨㄚ|ㄌㄨㄚ|ㄗㄨㄚ|ㄘㄨㄚ|ㆡㄨㄚ|ㄙㄨㄚ|ㄍㄨㄚ|ㄎㄨㄚ|ㆣㄨㄚ|</v>
      </c>
      <c r="AF74" t="str">
        <f t="shared" si="2"/>
        <v>|ua|ㄨㄚ|ㄏㄨㄚ|ㄅㄨㄚ|ㄆㄨㄚ|ㆠㄨㄚ|ㄇㄨㄚ|ㄉㄨㄚ|ㄊㄨㄚ|ㄋㄨㄚ|ㄌㄨㄚ|ㄗㄨㄚ|ㄘㄨㄚ|ㆡㄨㄚ|ㄙㄨㄚ|ㄍㄨㄚ|ㄎㄨㄚ|ㆣㄨㄚ||</v>
      </c>
    </row>
    <row r="75" spans="2:32">
      <c r="B75" s="6" t="s">
        <v>809</v>
      </c>
      <c r="C75" s="5" t="s">
        <v>810</v>
      </c>
      <c r="D75" s="5" t="s">
        <v>811</v>
      </c>
      <c r="E75" s="5" t="s">
        <v>812</v>
      </c>
      <c r="F75" s="5" t="s">
        <v>813</v>
      </c>
      <c r="G75" s="5"/>
      <c r="H75" s="5"/>
      <c r="I75" s="5" t="s">
        <v>814</v>
      </c>
      <c r="J75" s="5" t="s">
        <v>815</v>
      </c>
      <c r="K75" s="5"/>
      <c r="L75" s="5"/>
      <c r="M75" s="5" t="s">
        <v>816</v>
      </c>
      <c r="N75" s="5" t="s">
        <v>817</v>
      </c>
      <c r="O75" s="5"/>
      <c r="P75" s="5" t="s">
        <v>818</v>
      </c>
      <c r="Q75" s="5" t="s">
        <v>819</v>
      </c>
      <c r="R75" s="5" t="s">
        <v>820</v>
      </c>
      <c r="S75" s="5"/>
      <c r="T75" s="5"/>
      <c r="V75" t="str">
        <f t="shared" si="3"/>
        <v>uã|ㄨㆩ|ㄏㄨㆩ|ㄅㄨㆩ|ㄆㄨㆩ|||ㄉㄨㆩ|ㄊㄨㆩ|||ㄗㄨㆩ|ㄘㄨㆩ||ㄙㄨㆩ|ㄍㄨㆩ|ㄎㄨㆩ||</v>
      </c>
      <c r="AF75" t="str">
        <f t="shared" si="2"/>
        <v>|uã|ㄨㆩ|ㄏㄨㆩ|ㄅㄨㆩ|ㄆㄨㆩ|||ㄉㄨㆩ|ㄊㄨㆩ|||ㄗㄨㆩ|ㄘㄨㆩ||ㄙㄨㆩ|ㄍㄨㆩ|ㄎㄨㆩ|||</v>
      </c>
    </row>
    <row r="76" spans="2:32">
      <c r="B76" s="6" t="s">
        <v>821</v>
      </c>
      <c r="C76" s="5" t="s">
        <v>822</v>
      </c>
      <c r="D76" s="5" t="s">
        <v>823</v>
      </c>
      <c r="E76" s="5" t="s">
        <v>824</v>
      </c>
      <c r="F76" s="5" t="s">
        <v>825</v>
      </c>
      <c r="G76" s="5" t="s">
        <v>826</v>
      </c>
      <c r="H76" s="5"/>
      <c r="I76" s="5" t="s">
        <v>827</v>
      </c>
      <c r="J76" s="5" t="s">
        <v>828</v>
      </c>
      <c r="K76" s="5"/>
      <c r="L76" s="5" t="s">
        <v>829</v>
      </c>
      <c r="M76" s="5" t="s">
        <v>830</v>
      </c>
      <c r="N76" s="5" t="s">
        <v>831</v>
      </c>
      <c r="O76" s="5" t="s">
        <v>832</v>
      </c>
      <c r="P76" s="5" t="s">
        <v>833</v>
      </c>
      <c r="Q76" s="5" t="s">
        <v>834</v>
      </c>
      <c r="R76" s="5" t="s">
        <v>835</v>
      </c>
      <c r="S76" s="5"/>
      <c r="T76" s="5"/>
      <c r="V76" t="str">
        <f t="shared" si="3"/>
        <v>uaʔ|ㄨㄚㆷ|ㄏㄨㄚㆷ|ㄅㄨㄚㆷ|ㄆㄨㄚㆷ|ㆠㄨㄚㆷ||ㄉㄨㄚㆷ|ㄊㄨㄚㆷ||ㄌㄨㄚㆷ|ㄗㄨㄚㆷ|ㄘㄨㄚㆷ|ㆡㄨㄚㆷ|ㄙㄨㄚㆷ|ㄍㄨㄚㆷ|ㄎㄨㄚㆷ||</v>
      </c>
      <c r="AF76" t="str">
        <f t="shared" si="2"/>
        <v>|uaʔ|ㄨㄚㆷ|ㄏㄨㄚㆷ|ㄅㄨㄚㆷ|ㄆㄨㄚㆷ|ㆠㄨㄚㆷ||ㄉㄨㄚㆷ|ㄊㄨㄚㆷ||ㄌㄨㄚㆷ|ㄗㄨㄚㆷ|ㄘㄨㄚㆷ|ㆡㄨㄚㆷ|ㄙㄨㄚㆷ|ㄍㄨㄚㆷ|ㄎㄨㄚㆷ|||</v>
      </c>
    </row>
    <row r="77" spans="2:32">
      <c r="B77" s="6" t="s">
        <v>836</v>
      </c>
      <c r="C77" s="5" t="s">
        <v>837</v>
      </c>
      <c r="D77" s="5" t="s">
        <v>838</v>
      </c>
      <c r="E77" s="5" t="s">
        <v>839</v>
      </c>
      <c r="F77" s="5" t="s">
        <v>840</v>
      </c>
      <c r="G77" s="5" t="s">
        <v>841</v>
      </c>
      <c r="H77" s="5"/>
      <c r="I77" s="5" t="s">
        <v>842</v>
      </c>
      <c r="J77" s="5" t="s">
        <v>843</v>
      </c>
      <c r="K77" s="5"/>
      <c r="L77" s="5" t="s">
        <v>844</v>
      </c>
      <c r="M77" s="5" t="s">
        <v>845</v>
      </c>
      <c r="N77" s="5" t="s">
        <v>846</v>
      </c>
      <c r="O77" s="5"/>
      <c r="P77" s="5" t="s">
        <v>847</v>
      </c>
      <c r="Q77" s="5" t="s">
        <v>848</v>
      </c>
      <c r="R77" s="5" t="s">
        <v>849</v>
      </c>
      <c r="S77" s="5" t="s">
        <v>850</v>
      </c>
      <c r="T77" s="5"/>
      <c r="V77" t="str">
        <f t="shared" si="3"/>
        <v>uan|ㄨㄢ|ㄏㄨㄢ|ㄅㄨㄢ|ㄆㄨㄢ|ㆠㄨㄢ||ㄉㄨㄢ|ㄊㄨㄢ||ㄌㄨㄢ|ㄗㄨㄢ|ㄘㄨㄢ||ㄙㄨㄢ|ㄍㄨㄢ|ㄎㄨㄢ|ㆣㄨㄢ|</v>
      </c>
      <c r="AF77" t="str">
        <f t="shared" si="2"/>
        <v>|uan|ㄨㄢ|ㄏㄨㄢ|ㄅㄨㄢ|ㄆㄨㄢ|ㆠㄨㄢ||ㄉㄨㄢ|ㄊㄨㄢ||ㄌㄨㄢ|ㄗㄨㄢ|ㄘㄨㄢ||ㄙㄨㄢ|ㄍㄨㄢ|ㄎㄨㄢ|ㆣㄨㄢ||</v>
      </c>
    </row>
    <row r="78" spans="2:32">
      <c r="B78" s="6" t="s">
        <v>851</v>
      </c>
      <c r="C78" s="5" t="s">
        <v>852</v>
      </c>
      <c r="D78" s="5" t="s">
        <v>853</v>
      </c>
      <c r="E78" s="5"/>
      <c r="F78" s="5"/>
      <c r="G78" s="5"/>
      <c r="H78" s="5"/>
      <c r="I78" s="5"/>
      <c r="J78" s="5"/>
      <c r="K78" s="5"/>
      <c r="L78" s="5"/>
      <c r="M78" s="5"/>
      <c r="N78" s="5" t="s">
        <v>854</v>
      </c>
      <c r="O78" s="5"/>
      <c r="P78" s="5"/>
      <c r="Q78" s="5"/>
      <c r="R78" s="5"/>
      <c r="S78" s="5"/>
      <c r="T78" s="5"/>
      <c r="V78" t="str">
        <f t="shared" si="3"/>
        <v>uaŋ|ㄨㄤ|ㄏㄨㄤ||||||||||ㄘㄨㄤ||||||</v>
      </c>
      <c r="AF78" t="str">
        <f t="shared" si="2"/>
        <v>|uaŋ|ㄨㄤ|ㄏㄨㄤ||||||||||ㄘㄨㄤ|||||||</v>
      </c>
    </row>
    <row r="79" spans="2:32">
      <c r="B79" s="6" t="s">
        <v>855</v>
      </c>
      <c r="C79" s="5" t="s">
        <v>856</v>
      </c>
      <c r="D79" s="5" t="s">
        <v>857</v>
      </c>
      <c r="E79" s="5" t="s">
        <v>858</v>
      </c>
      <c r="F79" s="5" t="s">
        <v>859</v>
      </c>
      <c r="G79" s="5" t="s">
        <v>860</v>
      </c>
      <c r="H79" s="5"/>
      <c r="I79" s="5" t="s">
        <v>861</v>
      </c>
      <c r="J79" s="5" t="s">
        <v>862</v>
      </c>
      <c r="K79" s="5"/>
      <c r="L79" s="5" t="s">
        <v>863</v>
      </c>
      <c r="M79" s="5" t="s">
        <v>864</v>
      </c>
      <c r="N79" s="5"/>
      <c r="O79" s="5"/>
      <c r="P79" s="5" t="s">
        <v>865</v>
      </c>
      <c r="Q79" s="5" t="s">
        <v>866</v>
      </c>
      <c r="R79" s="5" t="s">
        <v>867</v>
      </c>
      <c r="S79" s="5" t="s">
        <v>868</v>
      </c>
      <c r="T79" s="5"/>
      <c r="V79" t="str">
        <f t="shared" si="3"/>
        <v>uat̚|ㄨㄚㆵ|ㄏㄨㄚㆵ|ㄅㄨㄚㆵ|ㄆㄨㄚㆵ|ㆠㄨㄚㆵ||ㄉㄨㄚㆵ|ㄊㄨㄚㆵ||ㄌㄨㄚㆵ|ㄗㄨㄚㆵ|||ㄙㄨㄚㆵ|ㄍㄨㄚㆵ|ㄎㄨㄚㆵ|ㆣㄨㄚㆵ|</v>
      </c>
      <c r="AF79" t="str">
        <f t="shared" si="2"/>
        <v>|uat̚|ㄨㄚㆵ|ㄏㄨㄚㆵ|ㄅㄨㄚㆵ|ㄆㄨㄚㆵ|ㆠㄨㄚㆵ||ㄉㄨㄚㆵ|ㄊㄨㄚㆵ||ㄌㄨㄚㆵ|ㄗㄨㄚㆵ|||ㄙㄨㄚㆵ|ㄍㄨㄚㆵ|ㄎㄨㄚㆵ|ㆣㄨㄚㆵ||</v>
      </c>
    </row>
    <row r="80" spans="2:32">
      <c r="B80" s="6" t="s">
        <v>869</v>
      </c>
      <c r="C80" s="5" t="s">
        <v>870</v>
      </c>
      <c r="D80" s="5" t="s">
        <v>871</v>
      </c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 t="s">
        <v>872</v>
      </c>
      <c r="Q80" s="5" t="s">
        <v>873</v>
      </c>
      <c r="R80" s="5" t="s">
        <v>874</v>
      </c>
      <c r="S80" s="5"/>
      <c r="T80" s="5"/>
      <c r="V80" t="str">
        <f t="shared" si="3"/>
        <v>uai|ㄨㄞ|ㄏㄨㄞ||||||||||||ㄙㄨㄞ|ㄍㄨㄞ|ㄎㄨㄞ||</v>
      </c>
      <c r="AF80" t="str">
        <f t="shared" si="2"/>
        <v>|uai|ㄨㄞ|ㄏㄨㄞ||||||||||||ㄙㄨㄞ|ㄍㄨㄞ|ㄎㄨㄞ|||</v>
      </c>
    </row>
    <row r="81" spans="2:32">
      <c r="B81" s="6" t="s">
        <v>875</v>
      </c>
      <c r="C81" s="5" t="s">
        <v>876</v>
      </c>
      <c r="D81" s="5" t="s">
        <v>877</v>
      </c>
      <c r="E81" s="5"/>
      <c r="F81" s="5"/>
      <c r="G81" s="5"/>
      <c r="H81" s="5"/>
      <c r="I81" s="5"/>
      <c r="J81" s="5"/>
      <c r="K81" s="5"/>
      <c r="L81" s="5"/>
      <c r="M81" s="5" t="s">
        <v>878</v>
      </c>
      <c r="N81" s="5"/>
      <c r="O81" s="5"/>
      <c r="P81" s="5" t="s">
        <v>879</v>
      </c>
      <c r="Q81" s="5" t="s">
        <v>880</v>
      </c>
      <c r="R81" s="5"/>
      <c r="S81" s="5"/>
      <c r="T81" s="5"/>
      <c r="V81" t="str">
        <f t="shared" si="3"/>
        <v>uãi|ㄨㆮ|ㄏㄨㆮ|||||||||ㄗㄨㆮ|||ㄙㄨㆮ|ㄍㄨㆮ|||</v>
      </c>
      <c r="AF81" t="str">
        <f t="shared" si="2"/>
        <v>|uãi|ㄨㆮ|ㄏㄨㆮ|||||||||ㄗㄨㆮ|||ㄙㄨㆮ|ㄍㄨㆮ||||</v>
      </c>
    </row>
    <row r="82" spans="2:32">
      <c r="B82" s="6" t="s">
        <v>881</v>
      </c>
      <c r="C82" s="5" t="s">
        <v>882</v>
      </c>
      <c r="D82" s="5"/>
      <c r="E82" s="5"/>
      <c r="F82" s="5"/>
      <c r="G82" s="5" t="s">
        <v>883</v>
      </c>
      <c r="H82" s="5"/>
      <c r="I82" s="5"/>
      <c r="J82" s="5"/>
      <c r="K82" s="5"/>
      <c r="L82" s="5" t="s">
        <v>884</v>
      </c>
      <c r="M82" s="5"/>
      <c r="N82" s="5" t="s">
        <v>885</v>
      </c>
      <c r="O82" s="5"/>
      <c r="P82" s="5"/>
      <c r="Q82" s="5" t="s">
        <v>886</v>
      </c>
      <c r="R82" s="5"/>
      <c r="S82" s="5"/>
      <c r="T82" s="5"/>
      <c r="V82" t="str">
        <f t="shared" si="3"/>
        <v>uaiʔ|ㄨㄞㆷ||||ㆠㄨㄞㆷ|||||ㄌㄨㄞㆷ||ㄘㄨㄞㆷ|||ㄍㄨㄞㆷ|||</v>
      </c>
      <c r="AF82" t="str">
        <f t="shared" si="2"/>
        <v>|uaiʔ|ㄨㄞㆷ||||ㆠㄨㄞㆷ|||||ㄌㄨㄞㆷ||ㄘㄨㄞㆷ|||ㄍㄨㄞㆷ||||</v>
      </c>
    </row>
    <row r="83" spans="2:32">
      <c r="B83" s="6" t="s">
        <v>887</v>
      </c>
      <c r="C83" s="5" t="s">
        <v>888</v>
      </c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 t="s">
        <v>889</v>
      </c>
      <c r="R83" s="5"/>
      <c r="S83" s="5"/>
      <c r="T83" s="5"/>
      <c r="V83" t="str">
        <f t="shared" si="3"/>
        <v>uãiʔ|ㄨㆮㆷ||||||||||||||ㄍㄨㆮㆷ|||</v>
      </c>
      <c r="AF83" t="str">
        <f t="shared" si="2"/>
        <v>|uãiʔ|ㄨㆮㆷ||||||||||||||ㄍㄨㆮㆷ||||</v>
      </c>
    </row>
    <row r="84" spans="2:32">
      <c r="B84" s="6" t="s">
        <v>890</v>
      </c>
      <c r="C84" s="5" t="s">
        <v>891</v>
      </c>
      <c r="D84" s="5" t="s">
        <v>892</v>
      </c>
      <c r="E84" s="5" t="s">
        <v>893</v>
      </c>
      <c r="F84" s="5" t="s">
        <v>894</v>
      </c>
      <c r="G84" s="5" t="s">
        <v>895</v>
      </c>
      <c r="H84" s="5" t="s">
        <v>896</v>
      </c>
      <c r="I84" s="5" t="s">
        <v>897</v>
      </c>
      <c r="J84" s="5" t="s">
        <v>898</v>
      </c>
      <c r="K84" s="5"/>
      <c r="L84" s="5" t="s">
        <v>899</v>
      </c>
      <c r="M84" s="5" t="s">
        <v>900</v>
      </c>
      <c r="N84" s="5" t="s">
        <v>901</v>
      </c>
      <c r="O84" s="5" t="s">
        <v>902</v>
      </c>
      <c r="P84" s="5" t="s">
        <v>903</v>
      </c>
      <c r="Q84" s="5" t="s">
        <v>904</v>
      </c>
      <c r="R84" s="5" t="s">
        <v>905</v>
      </c>
      <c r="S84" s="5" t="s">
        <v>906</v>
      </c>
      <c r="T84" s="5"/>
      <c r="V84" t="str">
        <f t="shared" si="3"/>
        <v>ue|ㄨㆤ|ㄏㄨㆤ|ㄅㄨㆤ|ㄆㄨㆤ|ㆠㄨㆤ|ㄇㄨㆤ|ㄉㄨㆤ|ㄊㄨㆤ||ㄌㄨㆤ|ㄗㄨㆤ|ㄘㄨㆤ|ㆡㄨㆤ|ㄙㄨㆤ|ㄍㄨㆤ|ㄎㄨㆤ|ㆣㄨㆤ|</v>
      </c>
      <c r="AF84" t="str">
        <f t="shared" si="2"/>
        <v>|ue|ㄨㆤ|ㄏㄨㆤ|ㄅㄨㆤ|ㄆㄨㆤ|ㆠㄨㆤ|ㄇㄨㆤ|ㄉㄨㆤ|ㄊㄨㆤ||ㄌㄨㆤ|ㄗㄨㆤ|ㄘㄨㆤ|ㆡㄨㆤ|ㄙㄨㆤ|ㄍㄨㆤ|ㄎㄨㆤ|ㆣㄨㆤ||</v>
      </c>
    </row>
    <row r="85" spans="2:32">
      <c r="B85" s="6"/>
      <c r="C85" s="5" t="s">
        <v>1</v>
      </c>
      <c r="D85" s="5" t="s">
        <v>2</v>
      </c>
      <c r="E85" s="5" t="s">
        <v>3</v>
      </c>
      <c r="F85" s="5" t="s">
        <v>4</v>
      </c>
      <c r="G85" s="5" t="s">
        <v>5</v>
      </c>
      <c r="H85" s="5" t="s">
        <v>6</v>
      </c>
      <c r="I85" s="5" t="s">
        <v>7</v>
      </c>
      <c r="J85" s="5" t="s">
        <v>8</v>
      </c>
      <c r="K85" s="5" t="s">
        <v>9</v>
      </c>
      <c r="L85" s="5" t="s">
        <v>10</v>
      </c>
      <c r="M85" s="5" t="s">
        <v>11</v>
      </c>
      <c r="N85" s="5" t="s">
        <v>12</v>
      </c>
      <c r="O85" s="5" t="s">
        <v>13</v>
      </c>
      <c r="P85" s="5" t="s">
        <v>14</v>
      </c>
      <c r="Q85" s="5" t="s">
        <v>15</v>
      </c>
      <c r="R85" s="5" t="s">
        <v>16</v>
      </c>
      <c r="S85" s="5" t="s">
        <v>17</v>
      </c>
      <c r="T85" s="5" t="s">
        <v>18</v>
      </c>
      <c r="V85" t="str">
        <f t="shared" si="3"/>
        <v>|Ø|h|p|pʰ|b|m|t|tʰ|n|l|ʦ/ʨ|ʦʰ/ʨʰ|ʣ/ʥ|s/ɕ|k|kʰ|g|ŋ</v>
      </c>
      <c r="AF85" t="str">
        <f t="shared" si="2"/>
        <v>||Ø|h|p|pʰ|b|m|t|tʰ|n|l|ʦ/ʨ|ʦʰ/ʨʰ|ʣ/ʥ|s/ɕ|k|kʰ|g|ŋ|</v>
      </c>
    </row>
    <row r="86" spans="2:32">
      <c r="B86" s="6" t="s">
        <v>907</v>
      </c>
      <c r="C86" s="5" t="s">
        <v>908</v>
      </c>
      <c r="D86" s="5" t="s">
        <v>909</v>
      </c>
      <c r="E86" s="5" t="s">
        <v>910</v>
      </c>
      <c r="F86" s="5" t="s">
        <v>911</v>
      </c>
      <c r="G86" s="5" t="s">
        <v>912</v>
      </c>
      <c r="H86" s="5"/>
      <c r="I86" s="5"/>
      <c r="J86" s="5" t="s">
        <v>913</v>
      </c>
      <c r="K86" s="5"/>
      <c r="L86" s="5" t="s">
        <v>914</v>
      </c>
      <c r="M86" s="5" t="s">
        <v>915</v>
      </c>
      <c r="N86" s="5" t="s">
        <v>916</v>
      </c>
      <c r="O86" s="5"/>
      <c r="P86" s="5" t="s">
        <v>917</v>
      </c>
      <c r="Q86" s="5" t="s">
        <v>918</v>
      </c>
      <c r="R86" s="5" t="s">
        <v>919</v>
      </c>
      <c r="S86" s="5" t="s">
        <v>920</v>
      </c>
      <c r="T86" s="5" t="s">
        <v>921</v>
      </c>
      <c r="V86" t="str">
        <f t="shared" si="3"/>
        <v>ueʔ|ㄨㆤㆷ|ㄏㄨㆤㆷ|ㄅㄨㆤㆷ|ㄆㄨㆤㆷ|ㆠㄨㆤㆷ|||ㄊㄨㆤㆷ||ㄌㄨㆤㆷ|ㄗㄨㆤㆷ|ㄘㄨㆤㆷ||ㄙㄨㆤㆷ|ㄍㄨㆤㆷ|ㄎㄨㆤㆷ|ㆣㄨㆤㆷ|ㄫㄨㆤㆷ</v>
      </c>
      <c r="AF86" t="str">
        <f t="shared" si="2"/>
        <v>|ueʔ|ㄨㆤㆷ|ㄏㄨㆤㆷ|ㄅㄨㆤㆷ|ㄆㄨㆤㆷ|ㆠㄨㆤㆷ|||ㄊㄨㆤㆷ||ㄌㄨㆤㆷ|ㄗㄨㆤㆷ|ㄘㄨㆤㆷ||ㄙㄨㆤㆷ|ㄍㄨㆤㆷ|ㄎㄨㆤㆷ|ㆣㄨㆤㆷ|ㄫㄨㆤㆷ|</v>
      </c>
    </row>
    <row r="87" spans="2:32">
      <c r="B87" s="6" t="s">
        <v>922</v>
      </c>
      <c r="C87" s="5" t="s">
        <v>923</v>
      </c>
      <c r="D87" s="5" t="s">
        <v>924</v>
      </c>
      <c r="E87" s="5" t="s">
        <v>925</v>
      </c>
      <c r="F87" s="5" t="s">
        <v>926</v>
      </c>
      <c r="G87" s="5" t="s">
        <v>927</v>
      </c>
      <c r="H87" s="5" t="s">
        <v>928</v>
      </c>
      <c r="I87" s="5" t="s">
        <v>929</v>
      </c>
      <c r="J87" s="5" t="s">
        <v>930</v>
      </c>
      <c r="K87" s="5"/>
      <c r="L87" s="5" t="s">
        <v>931</v>
      </c>
      <c r="M87" s="5" t="s">
        <v>932</v>
      </c>
      <c r="N87" s="5" t="s">
        <v>933</v>
      </c>
      <c r="O87" s="5"/>
      <c r="P87" s="5" t="s">
        <v>934</v>
      </c>
      <c r="Q87" s="5" t="s">
        <v>935</v>
      </c>
      <c r="R87" s="5" t="s">
        <v>936</v>
      </c>
      <c r="S87" s="5" t="s">
        <v>937</v>
      </c>
      <c r="T87" s="5"/>
      <c r="V87" t="str">
        <f t="shared" si="3"/>
        <v>ui|ㄨㄧ|ㄏㄨㄧ|ㄅㄨㄧ|ㄆㄨㄧ|ㆠㄨㄧ|ㄇㄨㄧ|ㄉㄨㄧ|ㄊㄨㄧ||ㄌㄨㄧ|ㄗㄨㄧ|ㄘㄨㄧ||ㄙㄨㄧ|ㄍㄨㄧ|ㄎㄨㄧ|ㆣㄨㄧ|</v>
      </c>
      <c r="AF87" t="str">
        <f t="shared" si="2"/>
        <v>|ui|ㄨㄧ|ㄏㄨㄧ|ㄅㄨㄧ|ㄆㄨㄧ|ㆠㄨㄧ|ㄇㄨㄧ|ㄉㄨㄧ|ㄊㄨㄧ||ㄌㄨㄧ|ㄗㄨㄧ|ㄘㄨㄧ||ㄙㄨㄧ|ㄍㄨㄧ|ㄎㄨㄧ|ㆣㄨㄧ||</v>
      </c>
    </row>
    <row r="88" spans="2:32">
      <c r="B88" s="6" t="s">
        <v>938</v>
      </c>
      <c r="C88" s="5" t="s">
        <v>939</v>
      </c>
      <c r="D88" s="5" t="s">
        <v>940</v>
      </c>
      <c r="E88" s="5" t="s">
        <v>941</v>
      </c>
      <c r="F88" s="5"/>
      <c r="G88" s="5"/>
      <c r="H88" s="5"/>
      <c r="I88" s="5"/>
      <c r="J88" s="5"/>
      <c r="K88" s="5"/>
      <c r="L88" s="5"/>
      <c r="M88" s="5" t="s">
        <v>942</v>
      </c>
      <c r="N88" s="5" t="s">
        <v>943</v>
      </c>
      <c r="O88" s="5"/>
      <c r="P88" s="5" t="s">
        <v>944</v>
      </c>
      <c r="Q88" s="5" t="s">
        <v>945</v>
      </c>
      <c r="R88" s="5"/>
      <c r="S88" s="5"/>
      <c r="T88" s="5"/>
      <c r="V88" t="str">
        <f t="shared" si="3"/>
        <v>uĩ|ㄨㆪ|ㄏㄨㆪ|ㄅㄨㆪ||||||||ㄗㄨㆪ|ㄘㄨㆪ||ㄙㄨㆪ|ㄍㄨㆪ|||</v>
      </c>
      <c r="AF88" t="str">
        <f t="shared" si="2"/>
        <v>|uĩ|ㄨㆪ|ㄏㄨㆪ|ㄅㄨㆪ||||||||ㄗㄨㆪ|ㄘㄨㆪ||ㄙㄨㆪ|ㄍㄨㆪ||||</v>
      </c>
    </row>
    <row r="89" spans="2:32">
      <c r="B89" s="6" t="s">
        <v>946</v>
      </c>
      <c r="C89" s="5" t="s">
        <v>947</v>
      </c>
      <c r="D89" s="5" t="s">
        <v>948</v>
      </c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 t="s">
        <v>949</v>
      </c>
      <c r="R89" s="5"/>
      <c r="S89" s="5"/>
      <c r="T89" s="5"/>
      <c r="V89" t="str">
        <f t="shared" si="3"/>
        <v>uiʔ|ㄨㄧㆷ|ㄏㄨㄧㆷ|||||||||||||ㄍㄨㄧㆷ|||</v>
      </c>
      <c r="AF89" t="str">
        <f t="shared" si="2"/>
        <v>|uiʔ|ㄨㄧㆷ|ㄏㄨㄧㆷ|||||||||||||ㄍㄨㄧㆷ||||</v>
      </c>
    </row>
    <row r="90" spans="2:32">
      <c r="B90" s="6"/>
      <c r="C90" s="5" t="s">
        <v>1</v>
      </c>
      <c r="D90" s="5" t="s">
        <v>2</v>
      </c>
      <c r="E90" s="5" t="s">
        <v>3</v>
      </c>
      <c r="F90" s="5" t="s">
        <v>4</v>
      </c>
      <c r="G90" s="5" t="s">
        <v>5</v>
      </c>
      <c r="H90" s="5" t="s">
        <v>6</v>
      </c>
      <c r="I90" s="5" t="s">
        <v>7</v>
      </c>
      <c r="J90" s="5" t="s">
        <v>8</v>
      </c>
      <c r="K90" s="5" t="s">
        <v>9</v>
      </c>
      <c r="L90" s="5" t="s">
        <v>10</v>
      </c>
      <c r="M90" s="5" t="s">
        <v>11</v>
      </c>
      <c r="N90" s="5" t="s">
        <v>12</v>
      </c>
      <c r="O90" s="5" t="s">
        <v>13</v>
      </c>
      <c r="P90" s="5" t="s">
        <v>14</v>
      </c>
      <c r="Q90" s="5" t="s">
        <v>15</v>
      </c>
      <c r="R90" s="5" t="s">
        <v>16</v>
      </c>
      <c r="S90" s="5" t="s">
        <v>17</v>
      </c>
      <c r="T90" s="5" t="s">
        <v>18</v>
      </c>
      <c r="V90" t="str">
        <f t="shared" si="3"/>
        <v>|Ø|h|p|pʰ|b|m|t|tʰ|n|l|ʦ/ʨ|ʦʰ/ʨʰ|ʣ/ʥ|s/ɕ|k|kʰ|g|ŋ</v>
      </c>
      <c r="AF90" t="str">
        <f t="shared" si="2"/>
        <v>||Ø|h|p|pʰ|b|m|t|tʰ|n|l|ʦ/ʨ|ʦʰ/ʨʰ|ʣ/ʥ|s/ɕ|k|kʰ|g|ŋ|</v>
      </c>
    </row>
    <row r="91" spans="2:32">
      <c r="B91" s="6" t="s">
        <v>950</v>
      </c>
      <c r="C91" s="5" t="s">
        <v>951</v>
      </c>
      <c r="D91" s="5" t="s">
        <v>952</v>
      </c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V91" t="str">
        <f t="shared" si="3"/>
        <v>m̩|ㆬ|ㄏㆬ||||||||||||||||</v>
      </c>
      <c r="AF91" t="str">
        <f t="shared" si="2"/>
        <v>|m̩|ㆬ|ㄏㆬ|||||||||||||||||</v>
      </c>
    </row>
    <row r="92" spans="2:32">
      <c r="B92" s="6" t="s">
        <v>953</v>
      </c>
      <c r="C92" s="5" t="s">
        <v>954</v>
      </c>
      <c r="D92" s="5" t="s">
        <v>955</v>
      </c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V92" t="str">
        <f t="shared" si="3"/>
        <v>m̩ʔ|ㆬㆷ|ㄏㆬㆷ||||||||||||||||</v>
      </c>
      <c r="AF92" t="str">
        <f t="shared" si="2"/>
        <v>|m̩ʔ|ㆬㆷ|ㄏㆬㆷ|||||||||||||||||</v>
      </c>
    </row>
    <row r="93" spans="2:32">
      <c r="B93" s="6" t="s">
        <v>956</v>
      </c>
      <c r="C93" s="5" t="s">
        <v>957</v>
      </c>
      <c r="D93" s="5" t="s">
        <v>958</v>
      </c>
      <c r="E93" s="5" t="s">
        <v>959</v>
      </c>
      <c r="F93" s="5"/>
      <c r="G93" s="5"/>
      <c r="H93" s="5" t="s">
        <v>960</v>
      </c>
      <c r="I93" s="5" t="s">
        <v>961</v>
      </c>
      <c r="J93" s="5" t="s">
        <v>962</v>
      </c>
      <c r="K93" s="5" t="s">
        <v>963</v>
      </c>
      <c r="L93" s="5"/>
      <c r="M93" s="5" t="s">
        <v>964</v>
      </c>
      <c r="N93" s="5" t="s">
        <v>965</v>
      </c>
      <c r="O93" s="5"/>
      <c r="P93" s="5" t="s">
        <v>966</v>
      </c>
      <c r="Q93" s="5" t="s">
        <v>967</v>
      </c>
      <c r="R93" s="5" t="s">
        <v>968</v>
      </c>
      <c r="S93" s="5"/>
      <c r="T93" s="5"/>
      <c r="V93" t="str">
        <f t="shared" si="3"/>
        <v>ŋ̍|ㆭ|ㄏㆭ|ㄅㆭ|||ㄇㆭ|ㄉㆭ|ㄊㆭ|ㄋㆭ||ㄗㆭ|ㄘㆭ||ㄙㆭ|ㄍㆭ|ㄎㆭ||</v>
      </c>
      <c r="AF93" t="str">
        <f t="shared" si="2"/>
        <v>|ŋ̍|ㆭ|ㄏㆭ|ㄅㆭ|||ㄇㆭ|ㄉㆭ|ㄊㆭ|ㄋㆭ||ㄗㆭ|ㄘㆭ||ㄙㆭ|ㄍㆭ|ㄎㆭ|||</v>
      </c>
    </row>
    <row r="94" spans="2:32">
      <c r="B94" s="6" t="s">
        <v>969</v>
      </c>
      <c r="C94" s="5" t="s">
        <v>970</v>
      </c>
      <c r="D94" s="5" t="s">
        <v>971</v>
      </c>
      <c r="E94" s="5"/>
      <c r="F94" s="5" t="s">
        <v>972</v>
      </c>
      <c r="G94" s="5"/>
      <c r="H94" s="5" t="s">
        <v>973</v>
      </c>
      <c r="I94" s="5"/>
      <c r="J94" s="5"/>
      <c r="K94" s="5"/>
      <c r="L94" s="5"/>
      <c r="M94" s="5"/>
      <c r="N94" s="5" t="s">
        <v>974</v>
      </c>
      <c r="O94" s="5"/>
      <c r="P94" s="5" t="s">
        <v>975</v>
      </c>
      <c r="Q94" s="5"/>
      <c r="R94" s="5" t="s">
        <v>976</v>
      </c>
      <c r="S94" s="5"/>
      <c r="T94" s="5"/>
      <c r="V94" t="str">
        <f t="shared" si="3"/>
        <v>ŋ̍ʔ|ㆭㆷ|ㄏㆭㆷ||ㄆㆭㆷ||ㄇㆭㆷ||||||ㄘㆭㆷ||ㄙㆭㆷ||ㄎㆭㆷ||</v>
      </c>
      <c r="AF94" t="str">
        <f t="shared" si="2"/>
        <v>|ŋ̍ʔ|ㆭㆷ|ㄏㆭㆷ||ㄆㆭㆷ||ㄇㆭㆷ||||||ㄘㆭㆷ||ㄙㆭㆷ||ㄎㆭㆷ|||</v>
      </c>
    </row>
    <row r="96" spans="2:32">
      <c r="B96" t="s">
        <v>977</v>
      </c>
    </row>
    <row r="98" spans="2:2">
      <c r="B98" t="s">
        <v>978</v>
      </c>
    </row>
    <row r="99" spans="2:2">
      <c r="B99" t="s">
        <v>979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7C4CB-17A9-4007-BE06-5EBA712DEC1A}">
  <dimension ref="B2:K11"/>
  <sheetViews>
    <sheetView workbookViewId="0">
      <selection activeCell="H15" sqref="H15"/>
    </sheetView>
  </sheetViews>
  <sheetFormatPr defaultRowHeight="25.5"/>
  <cols>
    <col min="10" max="11" width="37.4140625" customWidth="1"/>
  </cols>
  <sheetData>
    <row r="2" spans="2:11" ht="30">
      <c r="B2" s="8" t="s">
        <v>1069</v>
      </c>
    </row>
    <row r="3" spans="2:11" ht="30">
      <c r="B3" s="8"/>
    </row>
    <row r="4" spans="2:11">
      <c r="B4" s="9"/>
      <c r="C4" s="9" t="s">
        <v>1070</v>
      </c>
      <c r="D4" s="9" t="s">
        <v>1071</v>
      </c>
      <c r="E4" s="9" t="s">
        <v>1072</v>
      </c>
      <c r="F4" s="9" t="s">
        <v>1073</v>
      </c>
      <c r="G4" s="9" t="s">
        <v>1074</v>
      </c>
      <c r="H4" s="9" t="s">
        <v>1075</v>
      </c>
      <c r="J4" t="str">
        <f xml:space="preserve"> _xlfn.TEXTJOIN("|",FALSE,B4:H4)</f>
        <v>|塞音(不送氣)|塞音(送氣)|濁音|鼻音|擦音|邊音</v>
      </c>
      <c r="K4" s="17" t="str">
        <f xml:space="preserve"> _xlfn.CONCAT("|", J4, "|")</f>
        <v>||塞音(不送氣)|塞音(送氣)|濁音|鼻音|擦音|邊音|</v>
      </c>
    </row>
    <row r="5" spans="2:11">
      <c r="B5" s="30" t="s">
        <v>1068</v>
      </c>
      <c r="C5" s="30" t="s">
        <v>1068</v>
      </c>
      <c r="D5" s="30" t="s">
        <v>1068</v>
      </c>
      <c r="E5" s="30" t="s">
        <v>1068</v>
      </c>
      <c r="F5" s="30" t="s">
        <v>1068</v>
      </c>
      <c r="G5" s="30" t="s">
        <v>1068</v>
      </c>
      <c r="H5" s="30" t="s">
        <v>1068</v>
      </c>
      <c r="J5" t="str">
        <f xml:space="preserve"> _xlfn.TEXTJOIN("|",FALSE,B5:H5)</f>
        <v>---|---|---|---|---|---|---</v>
      </c>
      <c r="K5" s="17" t="str">
        <f t="shared" ref="K5:K11" si="0" xml:space="preserve"> _xlfn.CONCAT("|", J5, "|")</f>
        <v>|---|---|---|---|---|---|---|</v>
      </c>
    </row>
    <row r="6" spans="2:11">
      <c r="B6" s="9" t="s">
        <v>1076</v>
      </c>
      <c r="C6" s="20" t="s">
        <v>1077</v>
      </c>
      <c r="D6" s="20" t="s">
        <v>1078</v>
      </c>
      <c r="E6" s="20" t="s">
        <v>1079</v>
      </c>
      <c r="F6" s="20" t="s">
        <v>1080</v>
      </c>
      <c r="G6" s="22"/>
      <c r="H6" s="22"/>
      <c r="J6" t="str">
        <f t="shared" ref="J6:J11" si="1" xml:space="preserve"> _xlfn.TEXTJOIN("|",FALSE,B6:H6)</f>
        <v>唇音|ㄅ /p/|ㄆ /pʰ/|ㆠ /b/|ㄇ /m/||</v>
      </c>
      <c r="K6" s="17" t="str">
        <f t="shared" si="0"/>
        <v>|唇音|ㄅ /p/|ㄆ /pʰ/|ㆠ /b/|ㄇ /m/|||</v>
      </c>
    </row>
    <row r="7" spans="2:11">
      <c r="B7" s="9" t="s">
        <v>1081</v>
      </c>
      <c r="C7" s="20" t="s">
        <v>1082</v>
      </c>
      <c r="D7" s="20" t="s">
        <v>1083</v>
      </c>
      <c r="E7" s="10"/>
      <c r="F7" s="20" t="s">
        <v>1084</v>
      </c>
      <c r="G7" s="10"/>
      <c r="H7" s="20" t="s">
        <v>1085</v>
      </c>
      <c r="J7" t="str">
        <f t="shared" si="1"/>
        <v>舌尖音|ㄉ /t/|ㄊ /tʰ/||ㄋ /n/||ㄌ /l/</v>
      </c>
      <c r="K7" s="17" t="str">
        <f t="shared" si="0"/>
        <v>|舌尖音|ㄉ /t/|ㄊ /tʰ/||ㄋ /n/||ㄌ /l/|</v>
      </c>
    </row>
    <row r="8" spans="2:11">
      <c r="B8" s="9" t="s">
        <v>1086</v>
      </c>
      <c r="C8" s="20" t="s">
        <v>1087</v>
      </c>
      <c r="D8" s="20" t="s">
        <v>1088</v>
      </c>
      <c r="E8" s="20" t="s">
        <v>1089</v>
      </c>
      <c r="F8" s="10"/>
      <c r="G8" s="20" t="s">
        <v>1090</v>
      </c>
      <c r="H8" s="22"/>
      <c r="J8" t="str">
        <f t="shared" si="1"/>
        <v>舌齒音|ㄗ /ʦ/|ㄘ /ʦʰ/|ㆡ /ʣ/||ㄙ /s/|</v>
      </c>
      <c r="K8" s="17" t="str">
        <f t="shared" si="0"/>
        <v>|舌齒音|ㄗ /ʦ/|ㄘ /ʦʰ/|ㆡ /ʣ/||ㄙ /s/||</v>
      </c>
    </row>
    <row r="9" spans="2:11">
      <c r="B9" s="9" t="s">
        <v>1091</v>
      </c>
      <c r="C9" s="20" t="s">
        <v>1092</v>
      </c>
      <c r="D9" s="20" t="s">
        <v>1093</v>
      </c>
      <c r="E9" s="20" t="s">
        <v>1094</v>
      </c>
      <c r="F9" s="10"/>
      <c r="G9" s="20" t="s">
        <v>1095</v>
      </c>
      <c r="H9" s="22"/>
      <c r="J9" t="str">
        <f t="shared" si="1"/>
        <v>齦顎音|ㄐ /ʨ/|ㄑ /ʨʰ/|ㆢ /ʥ/||ㄒ /ɕ/|</v>
      </c>
      <c r="K9" s="17" t="str">
        <f t="shared" si="0"/>
        <v>|齦顎音|ㄐ /ʨ/|ㄑ /ʨʰ/|ㆢ /ʥ/||ㄒ /ɕ/||</v>
      </c>
    </row>
    <row r="10" spans="2:11">
      <c r="B10" s="9" t="s">
        <v>1096</v>
      </c>
      <c r="C10" s="20" t="s">
        <v>1097</v>
      </c>
      <c r="D10" s="20" t="s">
        <v>1098</v>
      </c>
      <c r="E10" s="20" t="s">
        <v>1099</v>
      </c>
      <c r="F10" s="20" t="s">
        <v>1100</v>
      </c>
      <c r="G10" s="22"/>
      <c r="H10" s="22"/>
      <c r="J10" t="str">
        <f t="shared" si="1"/>
        <v>舌根音|ㄍ /k/|ㄎ /kʰ/|ㆣ /g/|ㄫ /ŋ/||</v>
      </c>
      <c r="K10" s="17" t="str">
        <f t="shared" si="0"/>
        <v>|舌根音|ㄍ /k/|ㄎ /kʰ/|ㆣ /g/|ㄫ /ŋ/|||</v>
      </c>
    </row>
    <row r="11" spans="2:11">
      <c r="B11" s="9" t="s">
        <v>1101</v>
      </c>
      <c r="C11" s="10"/>
      <c r="D11" s="10"/>
      <c r="E11" s="10"/>
      <c r="F11" s="10"/>
      <c r="G11" s="20" t="s">
        <v>1102</v>
      </c>
      <c r="H11" s="22"/>
      <c r="J11" t="str">
        <f t="shared" si="1"/>
        <v>喉音|||||ㄏ /h/|</v>
      </c>
      <c r="K11" s="17" t="str">
        <f t="shared" si="0"/>
        <v>|喉音|||||ㄏ /h/||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48AA5-E091-42ED-8651-BCA4923C726D}">
  <dimension ref="B2:J25"/>
  <sheetViews>
    <sheetView workbookViewId="0">
      <selection activeCell="I5" sqref="I5:J10"/>
    </sheetView>
  </sheetViews>
  <sheetFormatPr defaultRowHeight="25.5"/>
  <cols>
    <col min="9" max="10" width="25.75" customWidth="1"/>
  </cols>
  <sheetData>
    <row r="2" spans="2:10" ht="30">
      <c r="B2" s="8" t="s">
        <v>1053</v>
      </c>
    </row>
    <row r="4" spans="2:10">
      <c r="B4" s="34" t="s">
        <v>1054</v>
      </c>
      <c r="C4" s="34" t="s">
        <v>1061</v>
      </c>
      <c r="D4" s="34" t="s">
        <v>1063</v>
      </c>
      <c r="E4" s="35" t="s">
        <v>1067</v>
      </c>
      <c r="F4" s="35"/>
      <c r="G4" s="35"/>
    </row>
    <row r="5" spans="2:10">
      <c r="B5" s="34"/>
      <c r="C5" s="34"/>
      <c r="D5" s="34"/>
      <c r="E5" s="36" t="s">
        <v>1064</v>
      </c>
      <c r="F5" s="36" t="s">
        <v>1065</v>
      </c>
      <c r="G5" s="36" t="s">
        <v>1066</v>
      </c>
      <c r="I5" t="str">
        <f xml:space="preserve"> _xlfn.CONCAT(B4:D5, _xlfn.TEXTJOIN("|",FALSE,E5:G5))</f>
        <v>韻腹陰聲韻鼻化韻-m|-n|-ŋ</v>
      </c>
      <c r="J5" s="17" t="str">
        <f xml:space="preserve"> _xlfn.CONCAT("|", I5, "|")</f>
        <v>|韻腹陰聲韻鼻化韻-m|-n|-ŋ|</v>
      </c>
    </row>
    <row r="6" spans="2:10">
      <c r="B6" s="37" t="s">
        <v>1068</v>
      </c>
      <c r="C6" s="37" t="s">
        <v>1068</v>
      </c>
      <c r="D6" s="37" t="s">
        <v>1068</v>
      </c>
      <c r="E6" s="37" t="s">
        <v>1068</v>
      </c>
      <c r="F6" s="37" t="s">
        <v>1068</v>
      </c>
      <c r="G6" s="37" t="s">
        <v>1068</v>
      </c>
      <c r="I6" t="str">
        <f xml:space="preserve"> _xlfn.TEXTJOIN("|",FALSE,C6:G6)</f>
        <v>---|---|---|---|---</v>
      </c>
      <c r="J6" s="17" t="str">
        <f xml:space="preserve"> _xlfn.CONCAT("|", I6, "|")</f>
        <v>|---|---|---|---|---|</v>
      </c>
    </row>
    <row r="7" spans="2:10">
      <c r="B7" s="32" t="s">
        <v>19</v>
      </c>
      <c r="C7" s="33" t="s">
        <v>20</v>
      </c>
      <c r="D7" s="33" t="s">
        <v>38</v>
      </c>
      <c r="E7" s="33" t="s">
        <v>69</v>
      </c>
      <c r="F7" s="33" t="s">
        <v>81</v>
      </c>
      <c r="G7" s="33" t="s">
        <v>96</v>
      </c>
      <c r="I7" t="str">
        <f xml:space="preserve"> _xlfn.TEXTJOIN("|",FALSE,C7:G7)</f>
        <v>ㄚ|ㆩ|ㆰ|ㄢ|ㄤ</v>
      </c>
      <c r="J7" s="17" t="str">
        <f xml:space="preserve"> _xlfn.CONCAT("|", I7, "|")</f>
        <v>|ㄚ|ㆩ|ㆰ|ㄢ|ㄤ|</v>
      </c>
    </row>
    <row r="8" spans="2:10">
      <c r="B8" s="14" t="s">
        <v>150</v>
      </c>
      <c r="C8" s="13" t="s">
        <v>151</v>
      </c>
      <c r="D8" s="13" t="s">
        <v>169</v>
      </c>
      <c r="E8" s="13"/>
      <c r="F8" s="13"/>
      <c r="G8" s="13"/>
      <c r="I8" t="str">
        <f t="shared" ref="I8:I25" si="0" xml:space="preserve"> _xlfn.TEXTJOIN("|",FALSE,C8:G8)</f>
        <v>ㄞ|ㆮ|||</v>
      </c>
    </row>
    <row r="9" spans="2:10">
      <c r="B9" s="14" t="s">
        <v>1055</v>
      </c>
      <c r="C9" s="13" t="s">
        <v>182</v>
      </c>
      <c r="D9" s="13"/>
      <c r="E9" s="13"/>
      <c r="F9" s="13"/>
      <c r="G9" s="13"/>
      <c r="I9" t="str">
        <f t="shared" si="0"/>
        <v>ㄠ||||</v>
      </c>
    </row>
    <row r="10" spans="2:10">
      <c r="B10" s="14" t="s">
        <v>209</v>
      </c>
      <c r="C10" s="13" t="s">
        <v>210</v>
      </c>
      <c r="D10" s="13" t="s">
        <v>228</v>
      </c>
      <c r="E10" s="13"/>
      <c r="F10" s="13"/>
      <c r="G10" s="13"/>
      <c r="I10" t="str">
        <f t="shared" si="0"/>
        <v>ㆤ|ㆥ|||</v>
      </c>
    </row>
    <row r="11" spans="2:10">
      <c r="B11" s="14" t="s">
        <v>261</v>
      </c>
      <c r="C11" s="13" t="s">
        <v>262</v>
      </c>
      <c r="D11" s="13" t="s">
        <v>281</v>
      </c>
      <c r="E11" s="13" t="s">
        <v>308</v>
      </c>
      <c r="F11" s="13" t="s">
        <v>321</v>
      </c>
      <c r="G11" s="13" t="s">
        <v>337</v>
      </c>
      <c r="I11" t="str">
        <f t="shared" si="0"/>
        <v>ㄧ|ㆪ|ㄧㆬ|ㄧㄣ|ㄧㄥ</v>
      </c>
    </row>
    <row r="12" spans="2:10">
      <c r="B12" s="14" t="s">
        <v>392</v>
      </c>
      <c r="C12" s="13" t="s">
        <v>393</v>
      </c>
      <c r="D12" s="13" t="s">
        <v>408</v>
      </c>
      <c r="E12" s="13" t="s">
        <v>439</v>
      </c>
      <c r="F12" s="13" t="s">
        <v>452</v>
      </c>
      <c r="G12" s="13" t="s">
        <v>468</v>
      </c>
      <c r="I12" t="str">
        <f t="shared" si="0"/>
        <v>ㄧㄚ|ㄧㆩ|ㄧㆰ|ㄧㄢ|ㄧㄤ</v>
      </c>
    </row>
    <row r="13" spans="2:10">
      <c r="B13" s="14" t="s">
        <v>1056</v>
      </c>
      <c r="C13" s="13" t="s">
        <v>518</v>
      </c>
      <c r="D13" s="13" t="s">
        <v>537</v>
      </c>
      <c r="E13" s="13"/>
      <c r="F13" s="13"/>
      <c r="G13" s="13"/>
      <c r="I13" t="str">
        <f t="shared" si="0"/>
        <v>ㄧㄠ|ㄧㆯ|||</v>
      </c>
    </row>
    <row r="14" spans="2:10">
      <c r="B14" s="14" t="s">
        <v>1057</v>
      </c>
      <c r="C14" s="13" t="s">
        <v>544</v>
      </c>
      <c r="D14" s="13"/>
      <c r="E14" s="13"/>
      <c r="F14" s="13"/>
      <c r="G14" s="13"/>
      <c r="I14" t="str">
        <f t="shared" si="0"/>
        <v>ㄧㄜ||||</v>
      </c>
    </row>
    <row r="15" spans="2:10">
      <c r="B15" s="14" t="s">
        <v>1058</v>
      </c>
      <c r="C15" s="13" t="s">
        <v>1062</v>
      </c>
      <c r="D15" s="13" t="s">
        <v>560</v>
      </c>
      <c r="E15" s="13"/>
      <c r="F15" s="13"/>
      <c r="G15" s="13" t="s">
        <v>580</v>
      </c>
      <c r="I15" t="str">
        <f t="shared" si="0"/>
        <v>ㄧㆦ|ㄧㆧ|||ㄧㆲ</v>
      </c>
    </row>
    <row r="16" spans="2:10">
      <c r="B16" s="14" t="s">
        <v>605</v>
      </c>
      <c r="C16" s="13" t="s">
        <v>606</v>
      </c>
      <c r="D16" s="13" t="s">
        <v>623</v>
      </c>
      <c r="E16" s="13"/>
      <c r="F16" s="13"/>
      <c r="G16" s="13"/>
      <c r="I16" t="str">
        <f t="shared" si="0"/>
        <v>ㄧㄨ|ㄧㆫ|||</v>
      </c>
    </row>
    <row r="17" spans="2:9">
      <c r="B17" s="14" t="s">
        <v>1059</v>
      </c>
      <c r="C17" s="13" t="s">
        <v>635</v>
      </c>
      <c r="D17" s="13"/>
      <c r="E17" s="13"/>
      <c r="F17" s="13"/>
      <c r="G17" s="13"/>
      <c r="I17" t="str">
        <f t="shared" si="0"/>
        <v>ㄜ||||</v>
      </c>
    </row>
    <row r="18" spans="2:9">
      <c r="B18" s="14" t="s">
        <v>649</v>
      </c>
      <c r="C18" s="13" t="s">
        <v>650</v>
      </c>
      <c r="D18" s="13" t="s">
        <v>668</v>
      </c>
      <c r="E18" s="13" t="s">
        <v>695</v>
      </c>
      <c r="F18" s="13"/>
      <c r="G18" s="13" t="s">
        <v>699</v>
      </c>
      <c r="I18" t="str">
        <f t="shared" si="0"/>
        <v>ㆦ|ㆧ|ㆱ||ㆲ</v>
      </c>
    </row>
    <row r="19" spans="2:9">
      <c r="B19" s="14" t="s">
        <v>733</v>
      </c>
      <c r="C19" s="13" t="s">
        <v>734</v>
      </c>
      <c r="D19" s="13"/>
      <c r="E19" s="31"/>
      <c r="F19" s="13" t="s">
        <v>762</v>
      </c>
      <c r="G19" s="31"/>
      <c r="I19" t="str">
        <f t="shared" si="0"/>
        <v>ㄨ|||ㄨㄣ|</v>
      </c>
    </row>
    <row r="20" spans="2:9">
      <c r="B20" s="14" t="s">
        <v>791</v>
      </c>
      <c r="C20" s="13" t="s">
        <v>792</v>
      </c>
      <c r="D20" s="13" t="s">
        <v>810</v>
      </c>
      <c r="E20" s="31"/>
      <c r="F20" s="13" t="s">
        <v>837</v>
      </c>
      <c r="G20" s="31"/>
      <c r="I20" t="str">
        <f t="shared" si="0"/>
        <v>ㄨㄚ|ㄨㆩ||ㄨㄢ|</v>
      </c>
    </row>
    <row r="21" spans="2:9">
      <c r="B21" s="14" t="s">
        <v>1060</v>
      </c>
      <c r="C21" s="13" t="s">
        <v>870</v>
      </c>
      <c r="D21" s="13" t="s">
        <v>876</v>
      </c>
      <c r="E21" s="31"/>
      <c r="F21" s="31"/>
      <c r="G21" s="31"/>
      <c r="I21" t="str">
        <f t="shared" si="0"/>
        <v>ㄨㄞ|ㄨㆮ|||</v>
      </c>
    </row>
    <row r="22" spans="2:9">
      <c r="B22" s="14" t="s">
        <v>890</v>
      </c>
      <c r="C22" s="13" t="s">
        <v>891</v>
      </c>
      <c r="D22" s="13"/>
      <c r="E22" s="31"/>
      <c r="F22" s="31"/>
      <c r="G22" s="31"/>
      <c r="I22" t="str">
        <f t="shared" si="0"/>
        <v>ㄨㆤ||||</v>
      </c>
    </row>
    <row r="23" spans="2:9">
      <c r="B23" s="14" t="s">
        <v>922</v>
      </c>
      <c r="C23" s="13" t="s">
        <v>923</v>
      </c>
      <c r="D23" s="13"/>
      <c r="E23" s="31"/>
      <c r="F23" s="31"/>
      <c r="G23" s="31"/>
      <c r="I23" t="str">
        <f t="shared" si="0"/>
        <v>ㄨㄧ||||</v>
      </c>
    </row>
    <row r="24" spans="2:9">
      <c r="B24" s="14" t="s">
        <v>950</v>
      </c>
      <c r="C24" s="13" t="s">
        <v>951</v>
      </c>
      <c r="D24" s="31"/>
      <c r="E24" s="31"/>
      <c r="F24" s="31"/>
      <c r="G24" s="31"/>
      <c r="I24" t="str">
        <f t="shared" si="0"/>
        <v>ㆬ||||</v>
      </c>
    </row>
    <row r="25" spans="2:9">
      <c r="B25" s="14" t="s">
        <v>956</v>
      </c>
      <c r="C25" s="13" t="s">
        <v>957</v>
      </c>
      <c r="D25" s="31"/>
      <c r="E25" s="31"/>
      <c r="F25" s="31"/>
      <c r="G25" s="31"/>
      <c r="I25" t="str">
        <f t="shared" si="0"/>
        <v>ㆭ||||</v>
      </c>
    </row>
  </sheetData>
  <mergeCells count="4">
    <mergeCell ref="B4:B5"/>
    <mergeCell ref="C4:C5"/>
    <mergeCell ref="D4:D5"/>
    <mergeCell ref="E4:G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418BC-F796-443F-BF30-1FA88FC03A99}">
  <dimension ref="B2:G10"/>
  <sheetViews>
    <sheetView workbookViewId="0">
      <selection activeCell="F4" sqref="F4:G6"/>
    </sheetView>
  </sheetViews>
  <sheetFormatPr defaultRowHeight="25.5"/>
  <cols>
    <col min="1" max="3" width="8.6640625" style="26"/>
    <col min="4" max="4" width="26.9140625" style="26" customWidth="1"/>
    <col min="5" max="5" width="8.6640625" style="26"/>
    <col min="6" max="7" width="50" style="26" customWidth="1"/>
    <col min="8" max="16384" width="8.6640625" style="26"/>
  </cols>
  <sheetData>
    <row r="2" spans="2:7" ht="30">
      <c r="B2" s="27" t="s">
        <v>1039</v>
      </c>
    </row>
    <row r="3" spans="2:7" ht="30">
      <c r="B3" s="8"/>
    </row>
    <row r="4" spans="2:7">
      <c r="B4" s="12" t="s">
        <v>1040</v>
      </c>
      <c r="C4" s="12" t="s">
        <v>1041</v>
      </c>
      <c r="D4" s="12" t="s">
        <v>1020</v>
      </c>
      <c r="F4" t="str">
        <f xml:space="preserve"> _xlfn.TEXTJOIN("|",FALSE,B4:D4)</f>
        <v>發音|符號|備註</v>
      </c>
      <c r="G4" s="17" t="str">
        <f xml:space="preserve"> _xlfn.CONCAT("|", F4, "|")</f>
        <v>|發音|符號|備註|</v>
      </c>
    </row>
    <row r="5" spans="2:7">
      <c r="B5" s="29" t="s">
        <v>980</v>
      </c>
      <c r="C5" s="29" t="s">
        <v>980</v>
      </c>
      <c r="D5" s="29" t="s">
        <v>980</v>
      </c>
      <c r="F5" t="str">
        <f t="shared" ref="F5:F9" si="0" xml:space="preserve"> _xlfn.TEXTJOIN("|",FALSE,B5:D5)</f>
        <v>------|------|------</v>
      </c>
      <c r="G5" s="17" t="str">
        <f xml:space="preserve"> _xlfn.CONCAT("|", F5, "|")</f>
        <v>|------|------|------|</v>
      </c>
    </row>
    <row r="6" spans="2:7">
      <c r="B6" s="13" t="s">
        <v>1042</v>
      </c>
      <c r="C6" s="13" t="s">
        <v>1043</v>
      </c>
      <c r="D6" s="28" t="s">
        <v>1044</v>
      </c>
      <c r="F6" t="str">
        <f t="shared" si="0"/>
        <v>/ɛ/|ㄝ|須區別部分偏漳腔腔調並未併入/e/的[ɛ]時。</v>
      </c>
      <c r="G6" s="17" t="str">
        <f xml:space="preserve"> _xlfn.CONCAT("|", F6, "|")</f>
        <v>|/ɛ/|ㄝ|須區別部分偏漳腔腔調並未併入/e/的[ɛ]時。|</v>
      </c>
    </row>
    <row r="7" spans="2:7" ht="30">
      <c r="B7" s="13" t="s">
        <v>1045</v>
      </c>
      <c r="C7" s="13" t="s">
        <v>635</v>
      </c>
      <c r="D7" s="28" t="s">
        <v>1046</v>
      </c>
      <c r="F7" t="str">
        <f t="shared" si="0"/>
        <v>/ə/|ㄜ|一般習慣比照第一優勢腔寫成ㄜ，但若依教育部公告，ㄜ只用於泉腔閏音。</v>
      </c>
      <c r="G7" s="17" t="str">
        <f t="shared" ref="G7:G10" si="1" xml:space="preserve"> _xlfn.CONCAT("|", F7, "|")</f>
        <v>|/ə/|ㄜ|一般習慣比照第一優勢腔寫成ㄜ，但若依教育部公告，ㄜ只用於泉腔閏音。|</v>
      </c>
    </row>
    <row r="8" spans="2:7">
      <c r="B8" s="13" t="s">
        <v>1047</v>
      </c>
      <c r="C8" s="13" t="s">
        <v>1048</v>
      </c>
      <c r="D8" s="28" t="s">
        <v>1049</v>
      </c>
      <c r="F8" t="str">
        <f t="shared" si="0"/>
        <v>/o/|ㄛ|教育部公告版本是用ㄛ。</v>
      </c>
      <c r="G8" s="17" t="str">
        <f t="shared" si="1"/>
        <v>|/o/|ㄛ|教育部公告版本是用ㄛ。|</v>
      </c>
    </row>
    <row r="9" spans="2:7">
      <c r="B9" s="13" t="s">
        <v>1050</v>
      </c>
      <c r="C9" s="13" t="s">
        <v>1051</v>
      </c>
      <c r="D9" s="28" t="s">
        <v>1052</v>
      </c>
      <c r="F9" t="str">
        <f t="shared" si="0"/>
        <v>/ɨ/|ㆨ|表達部分偏泉腔調，並未併入 /i/ 或 /u/ [ɨ]。</v>
      </c>
      <c r="G9" s="17" t="str">
        <f t="shared" si="1"/>
        <v>|/ɨ/|ㆨ|表達部分偏泉腔調，並未併入 /i/ 或 /u/ [ɨ]。|</v>
      </c>
    </row>
    <row r="10" spans="2:7">
      <c r="F10"/>
      <c r="G10" s="17"/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AA5C0-FBC1-4BE4-B59B-1D45912B24CC}">
  <dimension ref="B2:J7"/>
  <sheetViews>
    <sheetView workbookViewId="0">
      <selection activeCell="J4" sqref="J4:J7"/>
    </sheetView>
  </sheetViews>
  <sheetFormatPr defaultRowHeight="25.5" outlineLevelRow="1"/>
  <cols>
    <col min="1" max="1" width="8.6640625" style="1"/>
    <col min="2" max="2" width="13.5" style="1" customWidth="1"/>
    <col min="3" max="7" width="8.6640625" style="1"/>
    <col min="8" max="8" width="25.08203125" style="1" customWidth="1"/>
    <col min="9" max="9" width="8.6640625" style="1"/>
    <col min="10" max="10" width="50.08203125" style="1" customWidth="1"/>
    <col min="11" max="16384" width="8.6640625" style="1"/>
  </cols>
  <sheetData>
    <row r="2" spans="2:10" ht="30">
      <c r="B2" s="11" t="s">
        <v>981</v>
      </c>
    </row>
    <row r="3" spans="2:10" ht="30">
      <c r="B3" s="11"/>
    </row>
    <row r="4" spans="2:10">
      <c r="B4" s="14" t="s">
        <v>981</v>
      </c>
      <c r="C4" s="14" t="s">
        <v>3</v>
      </c>
      <c r="D4" s="14" t="s">
        <v>7</v>
      </c>
      <c r="E4" s="14" t="s">
        <v>15</v>
      </c>
      <c r="F4" s="14" t="s">
        <v>2</v>
      </c>
      <c r="H4" t="str">
        <f xml:space="preserve"> _xlfn.TEXTJOIN("|",FALSE,B4:F4)</f>
        <v>入聲韻尾|p|t|k|h</v>
      </c>
      <c r="J4" s="17" t="str">
        <f xml:space="preserve"> _xlfn.CONCAT("|", H4, "|")</f>
        <v>|入聲韻尾|p|t|k|h|</v>
      </c>
    </row>
    <row r="5" spans="2:10" outlineLevel="1">
      <c r="B5" s="16" t="s">
        <v>980</v>
      </c>
      <c r="C5" s="16" t="s">
        <v>980</v>
      </c>
      <c r="D5" s="16" t="s">
        <v>980</v>
      </c>
      <c r="E5" s="16" t="s">
        <v>980</v>
      </c>
      <c r="F5" s="16" t="s">
        <v>980</v>
      </c>
      <c r="H5" t="str">
        <f xml:space="preserve"> _xlfn.TEXTJOIN("|",FALSE,B5:F5)</f>
        <v>------|------|------|------|------</v>
      </c>
      <c r="J5" s="17" t="str">
        <f t="shared" ref="J5:J7" si="0" xml:space="preserve"> _xlfn.CONCAT("|", H5, "|")</f>
        <v>|------|------|------|------|------|</v>
      </c>
    </row>
    <row r="6" spans="2:10" ht="30">
      <c r="B6" s="14" t="s">
        <v>982</v>
      </c>
      <c r="C6" s="15" t="s">
        <v>983</v>
      </c>
      <c r="D6" s="15" t="s">
        <v>984</v>
      </c>
      <c r="E6" s="15" t="s">
        <v>985</v>
      </c>
      <c r="F6" s="15" t="s">
        <v>986</v>
      </c>
      <c r="H6" t="str">
        <f xml:space="preserve"> _xlfn.TEXTJOIN("|",FALSE,B6:F6)</f>
        <v>第4調（陰入）|ㆴ|ㆵ|ㆻ|ㆷ</v>
      </c>
      <c r="J6" s="17" t="str">
        <f t="shared" si="0"/>
        <v>|第4調（陰入）|ㆴ|ㆵ|ㆻ|ㆷ|</v>
      </c>
    </row>
    <row r="7" spans="2:10" ht="30">
      <c r="B7" s="14" t="s">
        <v>987</v>
      </c>
      <c r="C7" s="15" t="s">
        <v>988</v>
      </c>
      <c r="D7" s="15" t="s">
        <v>989</v>
      </c>
      <c r="E7" s="15" t="s">
        <v>990</v>
      </c>
      <c r="F7" s="15" t="s">
        <v>991</v>
      </c>
      <c r="H7" t="str">
        <f xml:space="preserve"> _xlfn.TEXTJOIN("|",FALSE,B7:F7)</f>
        <v>第8調（陽入）|ㆴ˙|ㆵ˙|ㆻ˙|ㆷ˙</v>
      </c>
      <c r="J7" s="17" t="str">
        <f t="shared" si="0"/>
        <v>|第8調（陽入）|ㆴ˙|ㆵ˙|ㆻ˙|ㆷ˙|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A8353-8366-4070-AD59-34196B813710}">
  <dimension ref="B2:N8"/>
  <sheetViews>
    <sheetView workbookViewId="0">
      <selection activeCell="F14" sqref="F14"/>
    </sheetView>
  </sheetViews>
  <sheetFormatPr defaultRowHeight="25.5"/>
  <cols>
    <col min="1" max="1" width="2.58203125" style="1" customWidth="1"/>
    <col min="2" max="9" width="14.25" style="1" customWidth="1"/>
    <col min="10" max="10" width="2.9140625" style="1" customWidth="1"/>
    <col min="11" max="11" width="37" style="1" customWidth="1"/>
    <col min="12" max="12" width="37.9140625" style="1" bestFit="1" customWidth="1"/>
    <col min="13" max="13" width="24.33203125" style="1" bestFit="1" customWidth="1"/>
    <col min="14" max="16384" width="8.6640625" style="1"/>
  </cols>
  <sheetData>
    <row r="2" spans="2:14">
      <c r="B2" s="1" t="s">
        <v>992</v>
      </c>
    </row>
    <row r="3" spans="2:14" ht="30">
      <c r="B3" s="11"/>
    </row>
    <row r="4" spans="2:14">
      <c r="B4" s="3" t="s">
        <v>993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7</v>
      </c>
      <c r="I4" s="3">
        <v>8</v>
      </c>
      <c r="K4" t="str">
        <f xml:space="preserve"> _xlfn.TEXTJOIN("|",FALSE,B4:I4)</f>
        <v>調號|1|2|3|4|5|7|8</v>
      </c>
      <c r="L4" s="17" t="str">
        <f xml:space="preserve"> _xlfn.CONCAT("|", K4, "|")</f>
        <v>|調號|1|2|3|4|5|7|8|</v>
      </c>
      <c r="N4" s="17"/>
    </row>
    <row r="5" spans="2:14">
      <c r="B5" s="16" t="s">
        <v>980</v>
      </c>
      <c r="C5" s="16" t="s">
        <v>980</v>
      </c>
      <c r="D5" s="16" t="s">
        <v>980</v>
      </c>
      <c r="E5" s="16" t="s">
        <v>980</v>
      </c>
      <c r="F5" s="16" t="s">
        <v>980</v>
      </c>
      <c r="G5" s="16" t="s">
        <v>980</v>
      </c>
      <c r="H5" s="16" t="s">
        <v>980</v>
      </c>
      <c r="I5" s="16" t="s">
        <v>980</v>
      </c>
      <c r="K5" t="str">
        <f t="shared" ref="K5:K8" si="0" xml:space="preserve"> _xlfn.TEXTJOIN("|",FALSE,B5:I5)</f>
        <v>------|------|------|------|------|------|------|------</v>
      </c>
      <c r="L5" s="17" t="str">
        <f xml:space="preserve"> _xlfn.CONCAT("|", K5, "|")</f>
        <v>|------|------|------|------|------|------|------|------|</v>
      </c>
      <c r="N5" s="17"/>
    </row>
    <row r="6" spans="2:14">
      <c r="B6" s="3" t="s">
        <v>994</v>
      </c>
      <c r="C6" s="2" t="s">
        <v>995</v>
      </c>
      <c r="D6" s="2" t="s">
        <v>996</v>
      </c>
      <c r="E6" s="2" t="s">
        <v>997</v>
      </c>
      <c r="F6" s="2" t="s">
        <v>998</v>
      </c>
      <c r="G6" s="2" t="s">
        <v>999</v>
      </c>
      <c r="H6" s="2" t="s">
        <v>1000</v>
      </c>
      <c r="I6" s="2" t="s">
        <v>1001</v>
      </c>
      <c r="K6" t="str">
        <f t="shared" si="0"/>
        <v>調名|陰平|陰上|陰去|陰入|陽平|陽去|陽入</v>
      </c>
      <c r="L6" s="17" t="str">
        <f xml:space="preserve"> _xlfn.CONCAT("|", K6, "|")</f>
        <v>|調名|陰平|陰上|陰去|陰入|陽平|陽去|陽入|</v>
      </c>
      <c r="N6" s="17"/>
    </row>
    <row r="7" spans="2:14">
      <c r="B7" s="3" t="s">
        <v>993</v>
      </c>
      <c r="C7" s="2"/>
      <c r="D7" s="2" t="s">
        <v>1002</v>
      </c>
      <c r="E7" s="2" t="s">
        <v>1003</v>
      </c>
      <c r="F7" s="2" t="s">
        <v>1004</v>
      </c>
      <c r="G7" s="2" t="s">
        <v>1005</v>
      </c>
      <c r="H7" s="2" t="s">
        <v>1006</v>
      </c>
      <c r="I7" s="2" t="s">
        <v>1007</v>
      </c>
      <c r="K7" t="str">
        <f t="shared" si="0"/>
        <v>調號||ˋ|˪|ㆴ、ㆵ、ㆻ、ㆷ|ˊ|˫|ㆴ˙、ㆵ˙、ㆻ˙、ㆷ˙</v>
      </c>
      <c r="L7" s="17" t="str">
        <f xml:space="preserve"> _xlfn.CONCAT("|", K7, "|")</f>
        <v>|調號||ˋ|˪|ㆴ、ㆵ、ㆻ、ㆷ|ˊ|˫|ㆴ˙、ㆵ˙、ㆻ˙、ㆷ˙|</v>
      </c>
      <c r="N7" s="17"/>
    </row>
    <row r="8" spans="2:14">
      <c r="B8" s="3" t="s">
        <v>1008</v>
      </c>
      <c r="C8" s="2" t="s">
        <v>1009</v>
      </c>
      <c r="D8" s="2" t="s">
        <v>1010</v>
      </c>
      <c r="E8" s="2" t="s">
        <v>1011</v>
      </c>
      <c r="F8" s="2" t="s">
        <v>1012</v>
      </c>
      <c r="G8" s="2" t="s">
        <v>1013</v>
      </c>
      <c r="H8" s="2" t="s">
        <v>1014</v>
      </c>
      <c r="I8" s="2" t="s">
        <v>1015</v>
      </c>
      <c r="K8" t="str">
        <f t="shared" si="0"/>
        <v>調值|˥˥ 55|˥˩ 51|˧˩ 31|˧ 30|˨˦ 24|˧˧ 33|˥ 50</v>
      </c>
      <c r="L8" s="17" t="str">
        <f xml:space="preserve"> _xlfn.CONCAT("|", K8, "|")</f>
        <v>|調值|˥˥ 55|˥˩ 51|˧˩ 31|˧ 30|˨˦ 24|˧˧ 33|˥ 50|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17CDC-5F05-47B5-B1B4-9017CB54CE3B}">
  <dimension ref="B2:O9"/>
  <sheetViews>
    <sheetView tabSelected="1" workbookViewId="0">
      <selection activeCell="G18" sqref="G18"/>
    </sheetView>
  </sheetViews>
  <sheetFormatPr defaultRowHeight="25.5"/>
  <cols>
    <col min="1" max="1" width="2.58203125" style="1" customWidth="1"/>
    <col min="2" max="10" width="14.25" style="1" customWidth="1"/>
    <col min="11" max="11" width="2.9140625" style="1" customWidth="1"/>
    <col min="12" max="12" width="37" style="1" customWidth="1"/>
    <col min="13" max="13" width="37.9140625" style="1" bestFit="1" customWidth="1"/>
    <col min="14" max="14" width="24.33203125" style="1" bestFit="1" customWidth="1"/>
    <col min="15" max="16384" width="8.6640625" style="1"/>
  </cols>
  <sheetData>
    <row r="2" spans="2:15">
      <c r="B2" s="1" t="s">
        <v>992</v>
      </c>
    </row>
    <row r="3" spans="2:15" ht="30">
      <c r="B3" s="11"/>
    </row>
    <row r="4" spans="2:15">
      <c r="B4" s="3" t="s">
        <v>993</v>
      </c>
      <c r="C4" s="3">
        <v>1</v>
      </c>
      <c r="D4" s="3">
        <v>2</v>
      </c>
      <c r="E4" s="3">
        <v>3</v>
      </c>
      <c r="F4" s="3">
        <v>4</v>
      </c>
      <c r="G4" s="3">
        <v>5</v>
      </c>
      <c r="H4" s="3">
        <v>7</v>
      </c>
      <c r="I4" s="3">
        <v>8</v>
      </c>
      <c r="J4" s="3">
        <v>0</v>
      </c>
      <c r="L4" t="str">
        <f xml:space="preserve"> _xlfn.TEXTJOIN("|",FALSE,B4:I4)</f>
        <v>調號|1|2|3|4|5|7|8</v>
      </c>
      <c r="M4" s="17" t="str">
        <f xml:space="preserve"> _xlfn.CONCAT("|", L4, "|")</f>
        <v>|調號|1|2|3|4|5|7|8|</v>
      </c>
      <c r="O4" s="17"/>
    </row>
    <row r="5" spans="2:15">
      <c r="B5" s="16" t="s">
        <v>980</v>
      </c>
      <c r="C5" s="16" t="s">
        <v>980</v>
      </c>
      <c r="D5" s="16" t="s">
        <v>980</v>
      </c>
      <c r="E5" s="16" t="s">
        <v>980</v>
      </c>
      <c r="F5" s="16" t="s">
        <v>980</v>
      </c>
      <c r="G5" s="16" t="s">
        <v>980</v>
      </c>
      <c r="H5" s="16" t="s">
        <v>980</v>
      </c>
      <c r="I5" s="16" t="s">
        <v>980</v>
      </c>
      <c r="J5" s="16" t="s">
        <v>980</v>
      </c>
      <c r="L5" t="str">
        <f t="shared" ref="L5:L8" si="0" xml:space="preserve"> _xlfn.TEXTJOIN("|",FALSE,B5:I5)</f>
        <v>------|------|------|------|------|------|------|------</v>
      </c>
      <c r="M5" s="17" t="str">
        <f xml:space="preserve"> _xlfn.CONCAT("|", L5, "|")</f>
        <v>|------|------|------|------|------|------|------|------|</v>
      </c>
      <c r="O5" s="17"/>
    </row>
    <row r="6" spans="2:15">
      <c r="B6" s="3" t="s">
        <v>994</v>
      </c>
      <c r="C6" s="2" t="s">
        <v>995</v>
      </c>
      <c r="D6" s="2" t="s">
        <v>996</v>
      </c>
      <c r="E6" s="2" t="s">
        <v>997</v>
      </c>
      <c r="F6" s="2" t="s">
        <v>998</v>
      </c>
      <c r="G6" s="2" t="s">
        <v>999</v>
      </c>
      <c r="H6" s="2" t="s">
        <v>1000</v>
      </c>
      <c r="I6" s="2" t="s">
        <v>1001</v>
      </c>
      <c r="J6" s="2" t="s">
        <v>1107</v>
      </c>
      <c r="L6" t="str">
        <f t="shared" si="0"/>
        <v>調名|陰平|陰上|陰去|陰入|陽平|陽去|陽入</v>
      </c>
      <c r="M6" s="17" t="str">
        <f xml:space="preserve"> _xlfn.CONCAT("|", L6, "|")</f>
        <v>|調名|陰平|陰上|陰去|陰入|陽平|陽去|陽入|</v>
      </c>
      <c r="O6" s="17"/>
    </row>
    <row r="7" spans="2:15">
      <c r="B7" s="3" t="s">
        <v>993</v>
      </c>
      <c r="C7" s="2"/>
      <c r="D7" s="2" t="s">
        <v>1002</v>
      </c>
      <c r="E7" s="2" t="s">
        <v>1003</v>
      </c>
      <c r="F7" s="2" t="s">
        <v>1004</v>
      </c>
      <c r="G7" s="2" t="s">
        <v>1005</v>
      </c>
      <c r="H7" s="2" t="s">
        <v>1006</v>
      </c>
      <c r="I7" s="2" t="s">
        <v>1007</v>
      </c>
      <c r="J7" s="2" t="s">
        <v>1108</v>
      </c>
      <c r="L7" t="str">
        <f t="shared" si="0"/>
        <v>調號||ˋ|˪|ㆴ、ㆵ、ㆻ、ㆷ|ˊ|˫|ㆴ˙、ㆵ˙、ㆻ˙、ㆷ˙</v>
      </c>
      <c r="M7" s="17" t="str">
        <f xml:space="preserve"> _xlfn.CONCAT("|", L7, "|")</f>
        <v>|調號||ˋ|˪|ㆴ、ㆵ、ㆻ、ㆷ|ˊ|˫|ㆴ˙、ㆵ˙、ㆻ˙、ㆷ˙|</v>
      </c>
      <c r="O7" s="17"/>
    </row>
    <row r="8" spans="2:15">
      <c r="B8" s="3" t="s">
        <v>1008</v>
      </c>
      <c r="C8" s="2" t="s">
        <v>1009</v>
      </c>
      <c r="D8" s="2" t="s">
        <v>1010</v>
      </c>
      <c r="E8" s="2" t="s">
        <v>1011</v>
      </c>
      <c r="F8" s="2" t="s">
        <v>1012</v>
      </c>
      <c r="G8" s="2" t="s">
        <v>1013</v>
      </c>
      <c r="H8" s="2" t="s">
        <v>1014</v>
      </c>
      <c r="I8" s="2" t="s">
        <v>1015</v>
      </c>
      <c r="J8" s="38"/>
      <c r="L8" t="str">
        <f t="shared" si="0"/>
        <v>調值|˥˥ 55|˥˩ 51|˧˩ 31|˧ 30|˨˦ 24|˧˧ 33|˥ 50</v>
      </c>
      <c r="M8" s="17" t="str">
        <f xml:space="preserve"> _xlfn.CONCAT("|", L8, "|")</f>
        <v>|調值|˥˥ 55|˥˩ 51|˧˩ 31|˧ 30|˨˦ 24|˧˧ 33|˥ 50|</v>
      </c>
    </row>
    <row r="9" spans="2:15">
      <c r="B9" s="3" t="s">
        <v>1103</v>
      </c>
      <c r="C9" s="2" t="s">
        <v>1104</v>
      </c>
      <c r="D9" s="2">
        <v>4</v>
      </c>
      <c r="E9" s="2">
        <v>3</v>
      </c>
      <c r="F9" s="2" t="s">
        <v>1105</v>
      </c>
      <c r="G9" s="2">
        <v>6</v>
      </c>
      <c r="H9" s="2">
        <v>5</v>
      </c>
      <c r="I9" s="2" t="s">
        <v>1106</v>
      </c>
      <c r="J9" s="2">
        <v>7</v>
      </c>
      <c r="L9" t="str">
        <f t="shared" ref="L9" si="1" xml:space="preserve"> _xlfn.TEXTJOIN("|",FALSE,B9:I9)</f>
        <v>按鍵|:|4|3|[|6|5|]</v>
      </c>
      <c r="M9" s="17" t="str">
        <f xml:space="preserve"> _xlfn.CONCAT("|", L9, "|")</f>
        <v>|按鍵|:|4|3|[|6|5|]|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96A3F-C4A8-4473-95A9-4FD6362DBB5D}">
  <dimension ref="B2:H11"/>
  <sheetViews>
    <sheetView workbookViewId="0">
      <selection activeCell="G3" sqref="G3:H9"/>
    </sheetView>
  </sheetViews>
  <sheetFormatPr defaultRowHeight="25.5"/>
  <cols>
    <col min="1" max="1" width="5.33203125" customWidth="1"/>
    <col min="2" max="2" width="12.25" customWidth="1"/>
    <col min="3" max="3" width="10.9140625" customWidth="1"/>
    <col min="5" max="5" width="38.4140625" customWidth="1"/>
    <col min="7" max="7" width="50.6640625" customWidth="1"/>
    <col min="8" max="8" width="30.83203125" customWidth="1"/>
  </cols>
  <sheetData>
    <row r="2" spans="2:8" ht="51">
      <c r="B2" s="18" t="s">
        <v>1016</v>
      </c>
    </row>
    <row r="3" spans="2:8" s="1" customFormat="1" ht="51">
      <c r="B3" s="12" t="s">
        <v>1017</v>
      </c>
      <c r="C3" s="24" t="s">
        <v>1018</v>
      </c>
      <c r="D3" s="12" t="s">
        <v>1019</v>
      </c>
      <c r="E3" s="12" t="s">
        <v>1020</v>
      </c>
      <c r="G3" t="str">
        <f xml:space="preserve"> _xlfn.TEXTJOIN("|",FALSE,B3:E3)</f>
        <v>文字|Unicode序列|用途|備註</v>
      </c>
      <c r="H3" s="17" t="str">
        <f xml:space="preserve"> _xlfn.CONCAT("|", G3, "|")</f>
        <v>|文字|Unicode序列|用途|備註|</v>
      </c>
    </row>
    <row r="4" spans="2:8" s="1" customFormat="1" ht="26.25">
      <c r="B4" s="25" t="s">
        <v>980</v>
      </c>
      <c r="C4" s="25" t="s">
        <v>980</v>
      </c>
      <c r="D4" s="25" t="s">
        <v>980</v>
      </c>
      <c r="E4" s="25" t="s">
        <v>980</v>
      </c>
      <c r="G4" t="str">
        <f t="shared" ref="G4:G11" si="0" xml:space="preserve"> _xlfn.TEXTJOIN("|",FALSE,B4:E4)</f>
        <v>------|------|------|------</v>
      </c>
      <c r="H4" s="17" t="str">
        <f xml:space="preserve"> _xlfn.CONCAT("|", G4, "|")</f>
        <v>|------|------|------|------|</v>
      </c>
    </row>
    <row r="5" spans="2:8" s="1" customFormat="1">
      <c r="B5" s="23" t="s">
        <v>985</v>
      </c>
      <c r="C5" s="19" t="s">
        <v>1021</v>
      </c>
      <c r="D5" s="20" t="s">
        <v>1022</v>
      </c>
      <c r="E5" s="21" t="s">
        <v>1023</v>
      </c>
      <c r="G5" t="str">
        <f t="shared" si="0"/>
        <v>ㆻ|U+31BBㆻ|入聲韻尾-k|原誤收ㆶ字，Unicode 13 (2020)增補</v>
      </c>
      <c r="H5" s="17" t="str">
        <f xml:space="preserve"> _xlfn.CONCAT("|", G5, "|")</f>
        <v>|ㆻ|U+31BBㆻ|入聲韻尾-k|原誤收ㆶ字，Unicode 13 (2020)增補|</v>
      </c>
    </row>
    <row r="6" spans="2:8" s="1" customFormat="1">
      <c r="B6" s="23" t="s">
        <v>1024</v>
      </c>
      <c r="C6" s="19" t="s">
        <v>1025</v>
      </c>
      <c r="D6" s="20" t="s">
        <v>1026</v>
      </c>
      <c r="E6" s="20" t="s">
        <v>1027</v>
      </c>
      <c r="G6" t="str">
        <f t="shared" si="0"/>
        <v>ㆴ˙ㆵ˙ㆻ˙ㆷ˙|U+02D9˙|第8聲調號|寫在入聲韻尾後方</v>
      </c>
      <c r="H6" s="17" t="str">
        <f t="shared" ref="H6:H11" si="1" xml:space="preserve"> _xlfn.CONCAT("|", G6, "|")</f>
        <v>|ㆴ˙ㆵ˙ㆻ˙ㆷ˙|U+02D9˙|第8聲調號|寫在入聲韻尾後方|</v>
      </c>
    </row>
    <row r="7" spans="2:8" s="1" customFormat="1">
      <c r="B7" s="23" t="s">
        <v>1002</v>
      </c>
      <c r="C7" s="19" t="s">
        <v>1028</v>
      </c>
      <c r="D7" s="20" t="s">
        <v>1029</v>
      </c>
      <c r="E7" s="20"/>
      <c r="G7" t="str">
        <f t="shared" si="0"/>
        <v>ˋ|U+02CBˋ|第2聲調號|</v>
      </c>
      <c r="H7" s="17" t="str">
        <f t="shared" si="1"/>
        <v>|ˋ|U+02CBˋ|第2聲調號||</v>
      </c>
    </row>
    <row r="8" spans="2:8" s="1" customFormat="1">
      <c r="B8" s="23" t="s">
        <v>1003</v>
      </c>
      <c r="C8" s="19" t="s">
        <v>1030</v>
      </c>
      <c r="D8" s="20" t="s">
        <v>1031</v>
      </c>
      <c r="E8" s="20"/>
      <c r="G8" t="str">
        <f t="shared" si="0"/>
        <v>˪|U+02EA˪|第3聲調號|</v>
      </c>
      <c r="H8" s="17" t="str">
        <f t="shared" si="1"/>
        <v>|˪|U+02EA˪|第3聲調號||</v>
      </c>
    </row>
    <row r="9" spans="2:8" s="1" customFormat="1">
      <c r="B9" s="23" t="s">
        <v>1005</v>
      </c>
      <c r="C9" s="19" t="s">
        <v>1032</v>
      </c>
      <c r="D9" s="20" t="s">
        <v>1033</v>
      </c>
      <c r="E9" s="20"/>
      <c r="G9" t="str">
        <f t="shared" si="0"/>
        <v>ˊ|U+02CAˊ|第5聲調號|</v>
      </c>
      <c r="H9" s="17" t="str">
        <f t="shared" si="1"/>
        <v>|ˊ|U+02CAˊ|第5聲調號||</v>
      </c>
    </row>
    <row r="10" spans="2:8" s="1" customFormat="1">
      <c r="B10" s="23" t="s">
        <v>1006</v>
      </c>
      <c r="C10" s="19" t="s">
        <v>1034</v>
      </c>
      <c r="D10" s="20" t="s">
        <v>1035</v>
      </c>
      <c r="E10" s="20"/>
      <c r="G10" t="str">
        <f t="shared" si="0"/>
        <v>˫|U+02EB˫|第7聲調號|</v>
      </c>
      <c r="H10" s="17" t="str">
        <f t="shared" si="1"/>
        <v>|˫|U+02EB˫|第7聲調號||</v>
      </c>
    </row>
    <row r="11" spans="2:8" s="1" customFormat="1">
      <c r="B11" s="23" t="s">
        <v>1036</v>
      </c>
      <c r="C11" s="19" t="s">
        <v>1025</v>
      </c>
      <c r="D11" s="20" t="s">
        <v>1037</v>
      </c>
      <c r="E11" s="20" t="s">
        <v>1038</v>
      </c>
      <c r="G11" t="str">
        <f t="shared" si="0"/>
        <v>˙|U+02D9˙|輕聲|寫在音節前方或韻母後方</v>
      </c>
      <c r="H11" s="17" t="str">
        <f t="shared" si="1"/>
        <v>|˙|U+02D9˙|輕聲|寫在音節前方或韻母後方|</v>
      </c>
    </row>
  </sheetData>
  <phoneticPr fontId="1" type="noConversion"/>
  <hyperlinks>
    <hyperlink ref="B2" r:id="rId1" display="https://zi-hi.com/Unicode" xr:uid="{505213D2-C493-4F15-ADAF-D7A8D973EEAA}"/>
    <hyperlink ref="C3" r:id="rId2" display="https://zi-hi.com/Unicode" xr:uid="{7B9A0BB6-DC65-457A-BF5E-CAC93E30D6C8}"/>
    <hyperlink ref="C5" r:id="rId3" display="https://zi-hi.com/sp/uni/31BB" xr:uid="{6AF91574-4463-4B18-B55A-4CD7E3E6347E}"/>
    <hyperlink ref="E5" r:id="rId4" display="https://zi-hi.com/Unicode" xr:uid="{0F82B6B3-6D2A-4424-9B48-CE8A5EC83036}"/>
    <hyperlink ref="C6" r:id="rId5" display="https://zi-hi.com/sp/uni/02D9" xr:uid="{E971AEFC-6C7F-4190-9D46-44547CAC75EC}"/>
    <hyperlink ref="C7" r:id="rId6" display="https://zi-hi.com/sp/uni/02CB" xr:uid="{94C75610-0692-4F4E-AECA-D8F483B72717}"/>
    <hyperlink ref="C8" r:id="rId7" display="https://zi-hi.com/sp/uni/02EA" xr:uid="{14B5A064-3A08-47C6-81C2-95F4719D9D12}"/>
    <hyperlink ref="C9" r:id="rId8" display="https://zi-hi.com/sp/uni/02CA" xr:uid="{5E076743-87FC-489B-84EA-B4C3348C967F}"/>
    <hyperlink ref="C10" r:id="rId9" display="https://zi-hi.com/sp/uni/02EB" xr:uid="{4658EED0-C6F0-4670-86BC-F4CBCCE83631}"/>
    <hyperlink ref="C11" r:id="rId10" display="https://zi-hi.com/sp/uni/02D9" xr:uid="{772C968B-C1F1-4C4A-8F30-85BAD317299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音節表</vt:lpstr>
      <vt:lpstr>聲母</vt:lpstr>
      <vt:lpstr>韻母</vt:lpstr>
      <vt:lpstr>地方腔</vt:lpstr>
      <vt:lpstr>入聲韻尾</vt:lpstr>
      <vt:lpstr>聲調</vt:lpstr>
      <vt:lpstr>聲調按鍵</vt:lpstr>
      <vt:lpstr>聲調符號（Unicode）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正中 居</dc:creator>
  <cp:lastModifiedBy>正中 居</cp:lastModifiedBy>
  <dcterms:created xsi:type="dcterms:W3CDTF">2025-11-22T02:14:17Z</dcterms:created>
  <dcterms:modified xsi:type="dcterms:W3CDTF">2025-11-22T15:12:09Z</dcterms:modified>
</cp:coreProperties>
</file>