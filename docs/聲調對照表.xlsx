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bp\docs\"/>
    </mc:Choice>
  </mc:AlternateContent>
  <xr:revisionPtr revIDLastSave="0" documentId="13_ncr:1_{9F290B9D-1051-4861-B27A-21F48A5854F4}" xr6:coauthVersionLast="47" xr6:coauthVersionMax="47" xr10:uidLastSave="{00000000-0000-0000-0000-000000000000}"/>
  <bookViews>
    <workbookView xWindow="47895" yWindow="-75" windowWidth="19410" windowHeight="15585" tabRatio="818" firstSheet="2" activeTab="3" xr2:uid="{08BCE876-220B-4617-985F-BC533BEFAD68}"/>
  </bookViews>
  <sheets>
    <sheet name="聲調符號表" sheetId="4" r:id="rId1"/>
    <sheet name="拚音聲調表（閩拚）" sheetId="1" r:id="rId2"/>
    <sheet name="注音聲調表（閩拚）" sheetId="9" r:id="rId3"/>
    <sheet name="拚音聲調表（閩拚） (溫韻)" sheetId="10" r:id="rId4"/>
    <sheet name="注音聲調表（閩拚） (溫韻)" sheetId="11" r:id="rId5"/>
    <sheet name="注音聲調表（台語音標）" sheetId="8" r:id="rId6"/>
    <sheet name="聲調對照表（台語音標）" sheetId="7" r:id="rId7"/>
    <sheet name="拚音聲調表 (台語音標)" sheetId="5" r:id="rId8"/>
    <sheet name="聲調對照表（閩拚） (2)" sheetId="6" r:id="rId9"/>
    <sheet name="聲調對照表 (3)" sheetId="3" r:id="rId10"/>
    <sheet name="聲調對照表 (2)" sheetId="2" r:id="rId11"/>
  </sheets>
  <externalReferences>
    <externalReference r:id="rId12"/>
    <externalReference r:id="rId13"/>
  </externalReferences>
  <definedNames>
    <definedName name="十五音韻母">'[1]十五音-韻母'!$C$5:$C$54</definedName>
    <definedName name="十五音韻母對照表">'[1]十五音-韻母'!$B$5:$R$54</definedName>
    <definedName name="台羅韻母八音反切">'[1]台羅-韻母八音反切'!$R$5:$Y$54</definedName>
    <definedName name="白話字韻母八音反切">'[1]白話字-韻母八音反切'!$R$5:$Y$54</definedName>
    <definedName name="閩拼韻母八音反切">'[1]閩拼-韻母八音反切'!$R$5:$Y$54</definedName>
    <definedName name="聲母碼表">[1]聲母碼!$D$6:$K$22</definedName>
    <definedName name="韻母對照表">[1]韻母對照表!$B$6:$K$105</definedName>
    <definedName name="韻母碼表">[1]韻母碼!$F$5:$M$78</definedName>
    <definedName name="顯示注音輸入">[2]env!$C$10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1" l="1"/>
  <c r="S11" i="11" s="1"/>
  <c r="J11" i="11"/>
  <c r="Q10" i="11"/>
  <c r="P10" i="11"/>
  <c r="O10" i="11"/>
  <c r="L10" i="11"/>
  <c r="S10" i="11" s="1"/>
  <c r="J10" i="11"/>
  <c r="S9" i="11"/>
  <c r="Q9" i="11"/>
  <c r="P9" i="11"/>
  <c r="O9" i="11"/>
  <c r="L9" i="11"/>
  <c r="J9" i="11"/>
  <c r="Q8" i="11"/>
  <c r="P8" i="11"/>
  <c r="O8" i="11"/>
  <c r="L8" i="11"/>
  <c r="S8" i="11" s="1"/>
  <c r="J8" i="11"/>
  <c r="S7" i="11"/>
  <c r="Q7" i="11"/>
  <c r="P7" i="11"/>
  <c r="O7" i="11"/>
  <c r="L7" i="11"/>
  <c r="J7" i="11"/>
  <c r="Q6" i="11"/>
  <c r="P6" i="11"/>
  <c r="O6" i="11"/>
  <c r="L6" i="11"/>
  <c r="S6" i="11" s="1"/>
  <c r="S5" i="11"/>
  <c r="Q5" i="11"/>
  <c r="P5" i="11"/>
  <c r="O5" i="11"/>
  <c r="L5" i="11"/>
  <c r="J5" i="11"/>
  <c r="S4" i="11"/>
  <c r="Q4" i="11"/>
  <c r="P4" i="11"/>
  <c r="O4" i="11"/>
  <c r="L4" i="11"/>
  <c r="J4" i="11"/>
  <c r="S3" i="11"/>
  <c r="Q3" i="11"/>
  <c r="P3" i="11"/>
  <c r="O3" i="11"/>
  <c r="L3" i="11"/>
  <c r="J3" i="11"/>
  <c r="I19" i="10"/>
  <c r="J11" i="10"/>
  <c r="I11" i="10"/>
  <c r="O10" i="10"/>
  <c r="N10" i="10"/>
  <c r="M10" i="10"/>
  <c r="J10" i="10"/>
  <c r="I10" i="10"/>
  <c r="O9" i="10"/>
  <c r="N9" i="10"/>
  <c r="M9" i="10"/>
  <c r="J9" i="10"/>
  <c r="I9" i="10"/>
  <c r="O8" i="10"/>
  <c r="N8" i="10"/>
  <c r="M8" i="10"/>
  <c r="J8" i="10"/>
  <c r="I8" i="10"/>
  <c r="O7" i="10"/>
  <c r="N7" i="10"/>
  <c r="M7" i="10"/>
  <c r="J7" i="10"/>
  <c r="I7" i="10"/>
  <c r="O6" i="10"/>
  <c r="N6" i="10"/>
  <c r="M6" i="10"/>
  <c r="J5" i="10"/>
  <c r="I5" i="10"/>
  <c r="O4" i="10"/>
  <c r="N4" i="10"/>
  <c r="M4" i="10"/>
  <c r="J4" i="10"/>
  <c r="I4" i="10"/>
  <c r="O3" i="10"/>
  <c r="N3" i="10"/>
  <c r="M3" i="10"/>
  <c r="J3" i="10"/>
  <c r="I3" i="10"/>
  <c r="J9" i="9"/>
  <c r="J10" i="9"/>
  <c r="J11" i="1"/>
  <c r="I11" i="1"/>
  <c r="S4" i="9"/>
  <c r="S6" i="9"/>
  <c r="S7" i="9"/>
  <c r="L4" i="9"/>
  <c r="L7" i="9"/>
  <c r="L8" i="9"/>
  <c r="S8" i="9" s="1"/>
  <c r="L5" i="9"/>
  <c r="S5" i="9" s="1"/>
  <c r="L6" i="9"/>
  <c r="L10" i="9"/>
  <c r="S10" i="9" s="1"/>
  <c r="L9" i="9"/>
  <c r="S9" i="9" s="1"/>
  <c r="L11" i="9"/>
  <c r="S11" i="9" s="1"/>
  <c r="Q10" i="9"/>
  <c r="P10" i="9"/>
  <c r="O10" i="9"/>
  <c r="Q9" i="9"/>
  <c r="P9" i="9"/>
  <c r="O9" i="9"/>
  <c r="Q8" i="9"/>
  <c r="P8" i="9"/>
  <c r="O8" i="9"/>
  <c r="Q7" i="9"/>
  <c r="P7" i="9"/>
  <c r="O7" i="9"/>
  <c r="Q6" i="9"/>
  <c r="P6" i="9"/>
  <c r="O6" i="9"/>
  <c r="Q5" i="9"/>
  <c r="P5" i="9"/>
  <c r="O5" i="9"/>
  <c r="Q4" i="9"/>
  <c r="P4" i="9"/>
  <c r="O4" i="9"/>
  <c r="Q3" i="9"/>
  <c r="P3" i="9"/>
  <c r="O3" i="9"/>
  <c r="L3" i="9"/>
  <c r="S3" i="9" s="1"/>
  <c r="K3" i="8"/>
  <c r="K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J8" i="9"/>
  <c r="J7" i="9"/>
  <c r="J5" i="9"/>
  <c r="J4" i="9"/>
  <c r="J3" i="9"/>
  <c r="J11" i="9"/>
  <c r="I6" i="8"/>
  <c r="I11" i="8"/>
  <c r="I10" i="8"/>
  <c r="I9" i="8"/>
  <c r="I8" i="8"/>
  <c r="I7" i="8"/>
  <c r="I5" i="8"/>
  <c r="I4" i="8"/>
  <c r="I3" i="8"/>
  <c r="U3" i="8"/>
  <c r="I15" i="7"/>
  <c r="I10" i="7"/>
  <c r="J10" i="7"/>
  <c r="I4" i="7"/>
  <c r="I9" i="7"/>
  <c r="I6" i="7"/>
  <c r="I3" i="7"/>
  <c r="I14" i="7"/>
  <c r="I7" i="7"/>
  <c r="I8" i="7"/>
  <c r="I18" i="7"/>
  <c r="O10" i="7"/>
  <c r="N10" i="7"/>
  <c r="M10" i="7"/>
  <c r="O9" i="7"/>
  <c r="N9" i="7"/>
  <c r="M9" i="7"/>
  <c r="J9" i="7"/>
  <c r="O8" i="7"/>
  <c r="N8" i="7"/>
  <c r="M8" i="7"/>
  <c r="J6" i="7"/>
  <c r="O7" i="7"/>
  <c r="N7" i="7"/>
  <c r="M7" i="7"/>
  <c r="J8" i="7"/>
  <c r="O6" i="7"/>
  <c r="N6" i="7"/>
  <c r="M6" i="7"/>
  <c r="J5" i="7"/>
  <c r="I5" i="7"/>
  <c r="O5" i="7"/>
  <c r="N5" i="7"/>
  <c r="M5" i="7"/>
  <c r="J4" i="7"/>
  <c r="O4" i="7"/>
  <c r="N4" i="7"/>
  <c r="M4" i="7"/>
  <c r="J7" i="7"/>
  <c r="O3" i="7"/>
  <c r="N3" i="7"/>
  <c r="M3" i="7"/>
  <c r="J3" i="7"/>
  <c r="J10" i="1"/>
  <c r="J9" i="1"/>
  <c r="J4" i="1"/>
  <c r="J5" i="1"/>
  <c r="J7" i="1"/>
  <c r="J8" i="1"/>
  <c r="J3" i="1"/>
  <c r="D18" i="6"/>
  <c r="R10" i="6"/>
  <c r="Q10" i="6"/>
  <c r="P10" i="6"/>
  <c r="R9" i="6"/>
  <c r="Q9" i="6"/>
  <c r="P9" i="6"/>
  <c r="D9" i="6"/>
  <c r="C9" i="6"/>
  <c r="R8" i="6"/>
  <c r="Q8" i="6"/>
  <c r="P8" i="6"/>
  <c r="D8" i="6"/>
  <c r="C8" i="6"/>
  <c r="R7" i="6"/>
  <c r="Q7" i="6"/>
  <c r="P7" i="6"/>
  <c r="D7" i="6"/>
  <c r="C7" i="6"/>
  <c r="R6" i="6"/>
  <c r="Q6" i="6"/>
  <c r="P6" i="6"/>
  <c r="D6" i="6"/>
  <c r="C6" i="6"/>
  <c r="R5" i="6"/>
  <c r="Q5" i="6"/>
  <c r="P5" i="6"/>
  <c r="D5" i="6"/>
  <c r="C5" i="6"/>
  <c r="R4" i="6"/>
  <c r="Q4" i="6"/>
  <c r="P4" i="6"/>
  <c r="D4" i="6"/>
  <c r="C4" i="6"/>
  <c r="R3" i="6"/>
  <c r="Q3" i="6"/>
  <c r="P3" i="6"/>
  <c r="D3" i="6"/>
  <c r="C3" i="6"/>
  <c r="I7" i="1"/>
  <c r="I8" i="1"/>
  <c r="I5" i="1"/>
  <c r="I10" i="1"/>
  <c r="I4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4" i="1"/>
  <c r="N4" i="1"/>
  <c r="M4" i="1"/>
  <c r="O3" i="1"/>
  <c r="N3" i="1"/>
  <c r="M3" i="1"/>
  <c r="I9" i="1"/>
  <c r="I3" i="1"/>
  <c r="S8" i="4"/>
  <c r="D18" i="5"/>
  <c r="D7" i="5"/>
  <c r="D6" i="5"/>
  <c r="D5" i="5"/>
  <c r="D4" i="5"/>
  <c r="D3" i="5"/>
  <c r="S4" i="4"/>
  <c r="S5" i="4"/>
  <c r="S6" i="4"/>
  <c r="S7" i="4"/>
  <c r="S9" i="4"/>
  <c r="S10" i="4"/>
  <c r="S3" i="4"/>
  <c r="R4" i="4"/>
  <c r="R5" i="4"/>
  <c r="R6" i="4"/>
  <c r="R7" i="4"/>
  <c r="R8" i="4"/>
  <c r="R9" i="4"/>
  <c r="R10" i="4"/>
  <c r="R3" i="4"/>
  <c r="Q4" i="4"/>
  <c r="Q5" i="4"/>
  <c r="Q6" i="4"/>
  <c r="Q7" i="4"/>
  <c r="Q8" i="4"/>
  <c r="Q9" i="4"/>
  <c r="Q10" i="4"/>
  <c r="Q3" i="4"/>
  <c r="M8" i="4"/>
  <c r="M6" i="4"/>
  <c r="M5" i="4"/>
  <c r="C18" i="3"/>
  <c r="C7" i="3"/>
  <c r="C6" i="3"/>
  <c r="C5" i="3"/>
  <c r="C4" i="3"/>
  <c r="C3" i="3"/>
  <c r="C18" i="2"/>
  <c r="C7" i="2"/>
  <c r="C6" i="2"/>
  <c r="C5" i="2"/>
  <c r="C4" i="2"/>
  <c r="C3" i="2"/>
  <c r="I19" i="1"/>
</calcChain>
</file>

<file path=xl/sharedStrings.xml><?xml version="1.0" encoding="utf-8"?>
<sst xmlns="http://schemas.openxmlformats.org/spreadsheetml/2006/main" count="746" uniqueCount="315">
  <si>
    <t>˙</t>
  </si>
  <si>
    <t>高促調</t>
    <phoneticPr fontId="1" type="noConversion"/>
  </si>
  <si>
    <t>陽入</t>
  </si>
  <si>
    <t>獨</t>
    <phoneticPr fontId="1" type="noConversion"/>
  </si>
  <si>
    <t/>
  </si>
  <si>
    <t>低促調</t>
    <phoneticPr fontId="1" type="noConversion"/>
  </si>
  <si>
    <t>陰入</t>
  </si>
  <si>
    <t>督</t>
    <phoneticPr fontId="1" type="noConversion"/>
  </si>
  <si>
    <t>陽上</t>
  </si>
  <si>
    <t>董</t>
    <phoneticPr fontId="1" type="noConversion"/>
  </si>
  <si>
    <t>ˋ</t>
  </si>
  <si>
    <t>高降調</t>
    <phoneticPr fontId="1" type="noConversion"/>
  </si>
  <si>
    <t>ˊ</t>
  </si>
  <si>
    <t>低升調</t>
    <phoneticPr fontId="1" type="noConversion"/>
  </si>
  <si>
    <t>陽平</t>
  </si>
  <si>
    <t>同</t>
    <phoneticPr fontId="1" type="noConversion"/>
  </si>
  <si>
    <t>˪</t>
  </si>
  <si>
    <t>低音調</t>
    <phoneticPr fontId="1" type="noConversion"/>
  </si>
  <si>
    <t>陰去</t>
  </si>
  <si>
    <t>棟</t>
    <phoneticPr fontId="1" type="noConversion"/>
  </si>
  <si>
    <t>˫</t>
  </si>
  <si>
    <t>中音調</t>
    <phoneticPr fontId="1" type="noConversion"/>
  </si>
  <si>
    <t>陽去</t>
  </si>
  <si>
    <t>動</t>
    <phoneticPr fontId="1" type="noConversion"/>
  </si>
  <si>
    <t>高音調</t>
    <phoneticPr fontId="1" type="noConversion"/>
  </si>
  <si>
    <t>陰平</t>
  </si>
  <si>
    <t>東</t>
    <phoneticPr fontId="1" type="noConversion"/>
  </si>
  <si>
    <t>方音符號</t>
    <phoneticPr fontId="15" type="noConversion"/>
  </si>
  <si>
    <t>閩拼方案</t>
    <phoneticPr fontId="15" type="noConversion"/>
  </si>
  <si>
    <t>台羅調號</t>
    <phoneticPr fontId="17" type="noConversion"/>
  </si>
  <si>
    <t>調值</t>
    <phoneticPr fontId="1" type="noConversion"/>
  </si>
  <si>
    <t>W調名</t>
    <phoneticPr fontId="1" type="noConversion"/>
  </si>
  <si>
    <t>四聲八調</t>
    <phoneticPr fontId="17" type="noConversion"/>
  </si>
  <si>
    <t>漢字與拼音</t>
    <phoneticPr fontId="1" type="noConversion"/>
  </si>
  <si>
    <t>tok4</t>
    <phoneticPr fontId="1" type="noConversion"/>
  </si>
  <si>
    <t>tok8</t>
    <phoneticPr fontId="1" type="noConversion"/>
  </si>
  <si>
    <t>上声/陰上</t>
    <phoneticPr fontId="1" type="noConversion"/>
  </si>
  <si>
    <t>鍵盤按鍵</t>
    <phoneticPr fontId="1" type="noConversion"/>
  </si>
  <si>
    <t>;</t>
    <phoneticPr fontId="1" type="noConversion"/>
  </si>
  <si>
    <t>-</t>
    <phoneticPr fontId="1" type="noConversion"/>
  </si>
  <si>
    <t>_</t>
    <phoneticPr fontId="1" type="noConversion"/>
  </si>
  <si>
    <t>\</t>
    <phoneticPr fontId="1" type="noConversion"/>
  </si>
  <si>
    <t>/</t>
    <phoneticPr fontId="1" type="noConversion"/>
  </si>
  <si>
    <t>[</t>
    <phoneticPr fontId="1" type="noConversion"/>
  </si>
  <si>
    <t>]</t>
    <phoneticPr fontId="1" type="noConversion"/>
  </si>
  <si>
    <t>tong1</t>
  </si>
  <si>
    <t>tong1</t>
    <phoneticPr fontId="1" type="noConversion"/>
  </si>
  <si>
    <t>tong7</t>
  </si>
  <si>
    <t>tong3</t>
  </si>
  <si>
    <t>tong2</t>
  </si>
  <si>
    <t>tong5</t>
  </si>
  <si>
    <t>調號</t>
  </si>
  <si>
    <t>組合用調號</t>
  </si>
  <si>
    <t>◌</t>
  </si>
  <si>
    <t>小寫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</si>
  <si>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</si>
  <si>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</si>
  <si>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</si>
  <si>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</si>
  <si>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</si>
  <si>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</si>
  <si>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</si>
  <si>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</si>
  <si>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</si>
  <si>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</si>
  <si>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</si>
  <si>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</si>
  <si>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</si>
  <si>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</si>
  <si>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</si>
  <si>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</si>
  <si>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</si>
  <si>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</si>
  <si>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</si>
  <si>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</si>
  <si>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</si>
  <si>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</si>
  <si>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</si>
  <si>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</si>
  <si>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</si>
  <si>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</si>
  <si>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</si>
  <si>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</si>
  <si>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</si>
  <si>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</si>
  <si>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</si>
  <si>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</si>
  <si>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大寫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</si>
  <si>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</si>
  <si>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</si>
  <si>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</si>
  <si>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</si>
  <si>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</si>
  <si>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</si>
  <si>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</si>
  <si>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</si>
  <si>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</si>
  <si>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</si>
  <si>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</si>
  <si>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</si>
  <si>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</si>
  <si>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</si>
  <si>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</si>
  <si>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</si>
  <si>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</si>
  <si>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</si>
  <si>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</si>
  <si>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</si>
  <si>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</si>
  <si>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</si>
  <si>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</si>
  <si>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</si>
  <si>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</si>
  <si>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</si>
  <si>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</si>
  <si>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</si>
  <si>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</si>
  <si>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</si>
  <si>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</si>
  <si>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</si>
  <si>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◌̂ U+0302</t>
  </si>
  <si>
    <t>◌̍ U+030D</t>
  </si>
  <si>
    <t>◌̋ U+030B</t>
  </si>
  <si>
    <t>á U+00E1</t>
  </si>
  <si>
    <t>à U+00E0</t>
  </si>
  <si>
    <t>â U+00E2</t>
  </si>
  <si>
    <t>ā U+0101</t>
  </si>
  <si>
    <t>é U+00E9</t>
  </si>
  <si>
    <t>è U+00E8</t>
  </si>
  <si>
    <t>ê U+00EA</t>
  </si>
  <si>
    <t>ě U+011B</t>
  </si>
  <si>
    <t>ē U+0113</t>
  </si>
  <si>
    <t>í U+00ED</t>
  </si>
  <si>
    <t>ì U+00EC</t>
  </si>
  <si>
    <t>î U+00EE</t>
  </si>
  <si>
    <t>ī U+012B</t>
  </si>
  <si>
    <t>ó U+00F3</t>
  </si>
  <si>
    <t>ò U+00F2</t>
  </si>
  <si>
    <t>ô U+00F4</t>
  </si>
  <si>
    <t>ō U+014D</t>
  </si>
  <si>
    <t>ő U+0151</t>
  </si>
  <si>
    <t>ú U+00FA</t>
  </si>
  <si>
    <t>ù U+00F9</t>
  </si>
  <si>
    <t>û U+00FB</t>
  </si>
  <si>
    <t>ū U+016B</t>
  </si>
  <si>
    <t>ű U+0171</t>
  </si>
  <si>
    <t>ḿ U+1E3F</t>
  </si>
  <si>
    <t>ń U+0144</t>
  </si>
  <si>
    <t>ǹ U+01F9</t>
  </si>
  <si>
    <t>ň U+0148</t>
  </si>
  <si>
    <t>Á U+00C1</t>
  </si>
  <si>
    <t>À U+00C0</t>
  </si>
  <si>
    <t>Â U+00C2</t>
  </si>
  <si>
    <t>Ā U+0100</t>
  </si>
  <si>
    <t>É U+00C9</t>
  </si>
  <si>
    <t>È U+00C8</t>
  </si>
  <si>
    <t>Ê U+00CA</t>
  </si>
  <si>
    <t>Ě U+011A</t>
  </si>
  <si>
    <t>Ē U+0112</t>
  </si>
  <si>
    <t>Í U+00CD</t>
  </si>
  <si>
    <t>Ì U+00CC</t>
  </si>
  <si>
    <t>Î U+00CE</t>
  </si>
  <si>
    <t>Ǐ U+01CF</t>
  </si>
  <si>
    <t>Ó U+00D3</t>
  </si>
  <si>
    <t>Ò U+00D2</t>
  </si>
  <si>
    <t>Ô U+00D4</t>
  </si>
  <si>
    <t>Ō U+014C</t>
  </si>
  <si>
    <t>Ő U+0150</t>
  </si>
  <si>
    <t>Ú U+00DA</t>
  </si>
  <si>
    <t>Ù U+00D9</t>
  </si>
  <si>
    <t>Û U+00DB</t>
  </si>
  <si>
    <t>Ǔ U+01D3</t>
  </si>
  <si>
    <t>Ű U+0170</t>
  </si>
  <si>
    <t>Ḿ U+1E3E</t>
  </si>
  <si>
    <t>Ń U+0143</t>
  </si>
  <si>
    <t>Ǹ U+01F8</t>
  </si>
  <si>
    <t>Ň U+0147</t>
  </si>
  <si>
    <t>◌̌ U+030C</t>
  </si>
  <si>
    <t>◌̄ U+0304</t>
  </si>
  <si>
    <t>ǎ U+01CE</t>
  </si>
  <si>
    <t>ǐ U+01D0</t>
  </si>
  <si>
    <t>ǒ U+01D2</t>
  </si>
  <si>
    <t>ǔ U+01D4</t>
  </si>
  <si>
    <t>Ǎ U+01CD</t>
  </si>
  <si>
    <t>Ǒ U+01D1</t>
  </si>
  <si>
    <t>◌́ U+0301</t>
  </si>
  <si>
    <t>◌̀ U+0300</t>
  </si>
  <si>
    <r>
      <rPr>
        <u/>
        <sz val="12"/>
        <color theme="10"/>
        <rFont val="新細明體"/>
        <family val="2"/>
      </rPr>
      <t>Ī</t>
    </r>
    <r>
      <rPr>
        <u/>
        <sz val="12"/>
        <color theme="10"/>
        <rFont val="Noto Sans TC Medium"/>
        <family val="2"/>
      </rPr>
      <t> U+012A</t>
    </r>
  </si>
  <si>
    <r>
      <rPr>
        <u/>
        <sz val="12"/>
        <color theme="10"/>
        <rFont val="新細明體"/>
        <family val="2"/>
      </rPr>
      <t>Ū</t>
    </r>
    <r>
      <rPr>
        <u/>
        <sz val="12"/>
        <color theme="10"/>
        <rFont val="Noto Sans TC Medium"/>
        <family val="2"/>
      </rPr>
      <t> U+016A</t>
    </r>
  </si>
  <si>
    <r>
      <t>註：使用 o͘ 與 </t>
    </r>
    <r>
      <rPr>
        <u/>
        <sz val="12"/>
        <color theme="10"/>
        <rFont val="新細明體"/>
        <family val="2"/>
      </rPr>
      <t>ⁿ</t>
    </r>
    <r>
      <rPr>
        <u/>
        <sz val="12"/>
        <color theme="10"/>
        <rFont val="Noto Sans TC Medium"/>
        <family val="2"/>
      </rPr>
      <t> 的台羅傳統版序列，請參考白話字條目。</t>
    </r>
  </si>
  <si>
    <t>Hex</t>
    <phoneticPr fontId="1" type="noConversion"/>
  </si>
  <si>
    <t>Unichar</t>
    <phoneticPr fontId="1" type="noConversion"/>
  </si>
  <si>
    <t>tóng</t>
  </si>
  <si>
    <t>tòng</t>
  </si>
  <si>
    <t>tông</t>
  </si>
  <si>
    <t>tǒng</t>
  </si>
  <si>
    <t>tōng</t>
  </si>
  <si>
    <t>to̍ng</t>
  </si>
  <si>
    <t>tőng</t>
  </si>
  <si>
    <t>閩拼調號</t>
    <phoneticPr fontId="15" type="noConversion"/>
  </si>
  <si>
    <t>；</t>
    <phoneticPr fontId="1" type="noConversion"/>
  </si>
  <si>
    <t>聲調按鍵</t>
    <phoneticPr fontId="1" type="noConversion"/>
  </si>
  <si>
    <t>漢字</t>
    <phoneticPr fontId="1" type="noConversion"/>
  </si>
  <si>
    <t>閩拼音標</t>
    <phoneticPr fontId="1" type="noConversion"/>
  </si>
  <si>
    <t>按鍵輸入</t>
    <phoneticPr fontId="17" type="noConversion"/>
  </si>
  <si>
    <t>tong6</t>
  </si>
  <si>
    <t>tong8</t>
  </si>
  <si>
    <t>輕聲</t>
    <phoneticPr fontId="1" type="noConversion"/>
  </si>
  <si>
    <t>輕聲調</t>
    <phoneticPr fontId="1" type="noConversion"/>
  </si>
  <si>
    <t>啊</t>
    <phoneticPr fontId="1" type="noConversion"/>
  </si>
  <si>
    <r>
      <t>◌</t>
    </r>
    <r>
      <rPr>
        <u/>
        <sz val="12"/>
        <color theme="10"/>
        <rFont val="Arial"/>
        <family val="2"/>
        <charset val="254"/>
      </rPr>
      <t>̍</t>
    </r>
    <r>
      <rPr>
        <u/>
        <sz val="12"/>
        <color theme="10"/>
        <rFont val="Noto Sans TC Medium"/>
        <family val="2"/>
      </rPr>
      <t> U+030D</t>
    </r>
    <phoneticPr fontId="1" type="noConversion"/>
  </si>
  <si>
    <t>ah0</t>
    <phoneticPr fontId="1" type="noConversion"/>
  </si>
  <si>
    <t>陽上</t>
    <phoneticPr fontId="1" type="noConversion"/>
  </si>
  <si>
    <t>三連音
第1音節</t>
    <phoneticPr fontId="1" type="noConversion"/>
  </si>
  <si>
    <t>ㄊㆲ</t>
  </si>
  <si>
    <t>ㄊㆲˋ</t>
  </si>
  <si>
    <t>ㄊㆲ˪</t>
  </si>
  <si>
    <t>tok4</t>
  </si>
  <si>
    <t>ㄊㆲˊ</t>
  </si>
  <si>
    <t>ㄊㆲ˫</t>
  </si>
  <si>
    <t>tok8</t>
  </si>
  <si>
    <t>調號</t>
    <phoneticPr fontId="17" type="noConversion"/>
  </si>
  <si>
    <t>四聲八調</t>
    <phoneticPr fontId="1" type="noConversion"/>
  </si>
  <si>
    <t>台語音標</t>
    <phoneticPr fontId="15" type="noConversion"/>
  </si>
  <si>
    <t>陰平 (ㄚ)</t>
    <phoneticPr fontId="1" type="noConversion"/>
  </si>
  <si>
    <t>陰上 (ㄚˋ)</t>
    <phoneticPr fontId="1" type="noConversion"/>
  </si>
  <si>
    <t>黨</t>
    <phoneticPr fontId="1" type="noConversion"/>
  </si>
  <si>
    <t>陰去 (ㄚ˪)</t>
    <phoneticPr fontId="1" type="noConversion"/>
  </si>
  <si>
    <t>陽平 (ㄚˊ)</t>
    <phoneticPr fontId="1" type="noConversion"/>
  </si>
  <si>
    <t>陽上 (ㄚˋ)</t>
    <phoneticPr fontId="1" type="noConversion"/>
  </si>
  <si>
    <t>陽去 (ㄚ˫)</t>
    <phoneticPr fontId="1" type="noConversion"/>
  </si>
  <si>
    <t>洞</t>
    <phoneticPr fontId="1" type="noConversion"/>
  </si>
  <si>
    <t>毒</t>
    <phoneticPr fontId="1" type="noConversion"/>
  </si>
  <si>
    <t>陰入 (ㄚㆷ)</t>
    <phoneticPr fontId="1" type="noConversion"/>
  </si>
  <si>
    <t>陽入 (ㄚㆷ˙)</t>
    <phoneticPr fontId="1" type="noConversion"/>
  </si>
  <si>
    <t>文字</t>
  </si>
  <si>
    <t>用途</t>
  </si>
  <si>
    <t>備註</t>
  </si>
  <si>
    <t>ㆻ</t>
  </si>
  <si>
    <t>入聲韻尾-k</t>
  </si>
  <si>
    <t>ㆴ˙ㆵ˙ㆻ˙ㆷ˙</t>
  </si>
  <si>
    <t>第8聲調號</t>
  </si>
  <si>
    <t>寫在入聲韻尾後方</t>
  </si>
  <si>
    <t>第2聲調號</t>
  </si>
  <si>
    <t>第3聲調號</t>
  </si>
  <si>
    <t>第5聲調號</t>
  </si>
  <si>
    <t>第7聲調號</t>
  </si>
  <si>
    <t>輕聲</t>
  </si>
  <si>
    <t>寫在音節前方或韻母後方</t>
  </si>
  <si>
    <t>Unicode表現</t>
  </si>
  <si>
    <t>Unicode序列</t>
  </si>
  <si>
    <t>U+31BBㆻ</t>
  </si>
  <si>
    <t>原誤收ㆶ字，Unicode 13 (2020)增補</t>
  </si>
  <si>
    <t>U+02D9˙</t>
  </si>
  <si>
    <t>U+02CBˋ</t>
  </si>
  <si>
    <t>U+02EA˪</t>
  </si>
  <si>
    <t>U+02CAˊ</t>
  </si>
  <si>
    <t>U+02EB˫</t>
  </si>
  <si>
    <t>輕聲 (ㄚㆷ˙)</t>
    <phoneticPr fontId="1" type="noConversion"/>
  </si>
  <si>
    <t>方音符號</t>
    <phoneticPr fontId="17" type="noConversion"/>
  </si>
  <si>
    <t>ㄚㆷ˙</t>
    <phoneticPr fontId="1" type="noConversion"/>
  </si>
  <si>
    <t>ㄊㆦㆻ</t>
    <phoneticPr fontId="1" type="noConversion"/>
  </si>
  <si>
    <t>ㄊㆦㆻ˙</t>
    <phoneticPr fontId="1" type="noConversion"/>
  </si>
  <si>
    <t>'</t>
    <phoneticPr fontId="1" type="noConversion"/>
  </si>
  <si>
    <t>陰平(ㄚ̄)</t>
  </si>
  <si>
    <t>陽平(ㄚ́)</t>
  </si>
  <si>
    <t>陰上(ㄚ̌)</t>
  </si>
  <si>
    <t>陽上(ㄚ̄)</t>
  </si>
  <si>
    <t>陰去(ㄚ̀)</t>
  </si>
  <si>
    <t>陽去(ㄚ̂)</t>
  </si>
  <si>
    <t>陰入(ㄚㆷ̄)</t>
  </si>
  <si>
    <t>陽入(ㄚㆷ́)</t>
  </si>
  <si>
    <t>輕聲(ㄚㆷ˙)</t>
  </si>
  <si>
    <t>陰平 ㄚ̄</t>
  </si>
  <si>
    <t>陽平 ㄚ́</t>
  </si>
  <si>
    <t>陰上 ㄚ̌</t>
  </si>
  <si>
    <t>陽上 ㄚ̄</t>
  </si>
  <si>
    <t>陰去 ㄚ̀</t>
  </si>
  <si>
    <t>陽去 ㄚ̂</t>
  </si>
  <si>
    <t>陰入 ㄚㆷ̄</t>
  </si>
  <si>
    <t>陽入 ㄚㆷ́</t>
  </si>
  <si>
    <t>輕聲 ㄚㆷ˙</t>
  </si>
  <si>
    <t>閩拚音標</t>
    <phoneticPr fontId="15" type="noConversion"/>
  </si>
  <si>
    <t>:</t>
    <phoneticPr fontId="1" type="noConversion"/>
  </si>
  <si>
    <t>輕聲調</t>
  </si>
  <si>
    <t>閩拼調號</t>
  </si>
  <si>
    <t>W 調名</t>
    <phoneticPr fontId="1" type="noConversion"/>
  </si>
  <si>
    <t>高音調</t>
  </si>
  <si>
    <t>低升調</t>
  </si>
  <si>
    <t>高降調</t>
  </si>
  <si>
    <t>低音調</t>
  </si>
  <si>
    <t>中音調</t>
  </si>
  <si>
    <t>低促調</t>
  </si>
  <si>
    <t>高促調</t>
  </si>
  <si>
    <t>啊</t>
  </si>
  <si>
    <t>上声/陽上</t>
    <phoneticPr fontId="1" type="noConversion"/>
  </si>
  <si>
    <t>tong2</t>
    <phoneticPr fontId="1" type="noConversion"/>
  </si>
  <si>
    <t>tong3</t>
    <phoneticPr fontId="1" type="noConversion"/>
  </si>
  <si>
    <t>tong5</t>
    <phoneticPr fontId="1" type="noConversion"/>
  </si>
  <si>
    <t>tong6</t>
    <phoneticPr fontId="1" type="noConversion"/>
  </si>
  <si>
    <t>tok7</t>
    <phoneticPr fontId="1" type="noConversion"/>
  </si>
  <si>
    <r>
      <t>◌</t>
    </r>
    <r>
      <rPr>
        <sz val="16"/>
        <color theme="1"/>
        <rFont val="新細明體"/>
        <family val="2"/>
      </rPr>
      <t>́</t>
    </r>
    <r>
      <rPr>
        <sz val="16"/>
        <color theme="1"/>
        <rFont val="微軟正黑體"/>
        <family val="2"/>
        <charset val="136"/>
      </rPr>
      <t> U+0301</t>
    </r>
  </si>
  <si>
    <r>
      <t>◌</t>
    </r>
    <r>
      <rPr>
        <sz val="16"/>
        <color theme="1"/>
        <rFont val="新細明體"/>
        <family val="2"/>
      </rPr>
      <t>̀</t>
    </r>
    <r>
      <rPr>
        <sz val="16"/>
        <color theme="1"/>
        <rFont val="微軟正黑體"/>
        <family val="2"/>
        <charset val="136"/>
      </rPr>
      <t> U+0300</t>
    </r>
  </si>
  <si>
    <t>君</t>
  </si>
  <si>
    <t>君</t>
    <phoneticPr fontId="1" type="noConversion"/>
  </si>
  <si>
    <t>群</t>
  </si>
  <si>
    <t>群</t>
    <phoneticPr fontId="1" type="noConversion"/>
  </si>
  <si>
    <t>滾</t>
  </si>
  <si>
    <t>滾</t>
    <phoneticPr fontId="1" type="noConversion"/>
  </si>
  <si>
    <t>棍</t>
  </si>
  <si>
    <t>棍</t>
    <phoneticPr fontId="1" type="noConversion"/>
  </si>
  <si>
    <t>骨</t>
  </si>
  <si>
    <t>骨</t>
    <phoneticPr fontId="1" type="noConversion"/>
  </si>
  <si>
    <t>滑</t>
  </si>
  <si>
    <t>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</si>
</sst>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rgb="FF000000"/>
      <name val="新細明體"/>
      <family val="1"/>
      <charset val="136"/>
      <scheme val="minor"/>
    </font>
    <font>
      <sz val="16"/>
      <color theme="1"/>
      <name val="Noto Sans TC Medium"/>
      <family val="2"/>
      <charset val="136"/>
    </font>
    <font>
      <sz val="16"/>
      <color theme="1"/>
      <name val="Noto Sans TC"/>
      <family val="2"/>
      <charset val="136"/>
    </font>
    <font>
      <sz val="18"/>
      <color theme="1"/>
      <name val="Noto Sans TC"/>
      <family val="2"/>
    </font>
    <font>
      <sz val="10"/>
      <color rgb="FF000000"/>
      <name val="Linux Libertine G"/>
      <family val="2"/>
    </font>
    <font>
      <sz val="16"/>
      <name val="Arial"/>
      <family val="2"/>
    </font>
    <font>
      <sz val="16"/>
      <color theme="1"/>
      <name val="Noto Serif TC Black"/>
      <family val="1"/>
    </font>
    <font>
      <sz val="16"/>
      <color theme="0" tint="-0.249977111117893"/>
      <name val="Noto Sans TC Medium"/>
      <family val="2"/>
      <charset val="136"/>
    </font>
    <font>
      <sz val="18"/>
      <color theme="0" tint="-0.249977111117893"/>
      <name val="Noto Sans TC"/>
      <family val="2"/>
    </font>
    <font>
      <sz val="16"/>
      <color theme="0" tint="-0.249977111117893"/>
      <name val="Arial"/>
      <family val="2"/>
    </font>
    <font>
      <sz val="16"/>
      <color theme="0" tint="-0.249977111117893"/>
      <name val="Noto Serif TC Black"/>
      <family val="1"/>
    </font>
    <font>
      <sz val="16"/>
      <color theme="1"/>
      <name val="Noto Serif TC Black"/>
      <family val="1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36"/>
      <color theme="0" tint="-0.249977111117893"/>
      <name val="Noto Serif TC Black"/>
      <family val="1"/>
      <charset val="136"/>
    </font>
    <font>
      <sz val="36"/>
      <color theme="1"/>
      <name val="字咍源雲明體 台羅方音 L"/>
      <family val="1"/>
      <charset val="136"/>
    </font>
    <font>
      <b/>
      <sz val="28"/>
      <color rgb="FFFF0000"/>
      <name val="Arial"/>
      <family val="2"/>
    </font>
    <font>
      <sz val="28"/>
      <color theme="1"/>
      <name val="Noto Sans TC"/>
      <family val="2"/>
    </font>
    <font>
      <sz val="36"/>
      <color theme="1"/>
      <name val="Noto Sans TC Medium"/>
      <family val="2"/>
      <charset val="136"/>
    </font>
    <font>
      <sz val="36"/>
      <color theme="1"/>
      <name val="Noto Sans TC Medium"/>
      <family val="2"/>
    </font>
    <font>
      <sz val="22"/>
      <name val="Arial"/>
      <family val="2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Noto Sans TC Medium"/>
      <family val="2"/>
      <charset val="136"/>
    </font>
    <font>
      <b/>
      <sz val="12"/>
      <color rgb="FF0C0301"/>
      <name val="Noto Sans TC Medium"/>
      <family val="2"/>
      <charset val="136"/>
    </font>
    <font>
      <u/>
      <sz val="12"/>
      <color theme="10"/>
      <name val="Noto Sans TC Medium"/>
      <family val="2"/>
    </font>
    <font>
      <sz val="12"/>
      <color rgb="FF0C0301"/>
      <name val="Noto Sans TC Medium"/>
      <family val="2"/>
    </font>
    <font>
      <b/>
      <sz val="12"/>
      <color rgb="FF0C0301"/>
      <name val="Noto Sans TC Medium"/>
      <family val="2"/>
    </font>
    <font>
      <u/>
      <sz val="12"/>
      <color theme="10"/>
      <name val="新細明體"/>
      <family val="2"/>
    </font>
    <font>
      <sz val="18"/>
      <color theme="1"/>
      <name val="Noto Sans TC Medium"/>
      <family val="2"/>
      <charset val="136"/>
    </font>
    <font>
      <sz val="18"/>
      <color theme="1"/>
      <name val="新細明體"/>
      <family val="2"/>
      <charset val="136"/>
      <scheme val="minor"/>
    </font>
    <font>
      <sz val="36"/>
      <color theme="1"/>
      <name val="Noto Serif TC Medium"/>
      <family val="1"/>
      <charset val="136"/>
    </font>
    <font>
      <sz val="24"/>
      <color theme="1"/>
      <name val="字咍源雲明體 台羅方音 L"/>
      <family val="1"/>
      <charset val="136"/>
    </font>
    <font>
      <b/>
      <sz val="24"/>
      <color theme="1"/>
      <name val="字咍源雲明體 台羅方音 L"/>
      <family val="1"/>
      <charset val="136"/>
    </font>
    <font>
      <u/>
      <sz val="12"/>
      <color theme="10"/>
      <name val="Arial"/>
      <family val="2"/>
      <charset val="254"/>
    </font>
    <font>
      <b/>
      <sz val="36"/>
      <color rgb="FFFF0000"/>
      <name val="Arial"/>
      <family val="2"/>
    </font>
    <font>
      <sz val="20"/>
      <color theme="1"/>
      <name val="Noto Sans TC Medium"/>
      <family val="2"/>
    </font>
    <font>
      <sz val="20"/>
      <color theme="1"/>
      <name val="Noto Sans TC"/>
      <family val="2"/>
    </font>
    <font>
      <sz val="20"/>
      <color theme="1"/>
      <name val="Noto Sans TC"/>
      <family val="2"/>
      <charset val="136"/>
    </font>
    <font>
      <sz val="18"/>
      <color theme="1"/>
      <name val="Noto Serif TC Black"/>
      <family val="1"/>
      <charset val="136"/>
    </font>
    <font>
      <sz val="18"/>
      <name val="Arial"/>
      <family val="2"/>
    </font>
    <font>
      <sz val="18"/>
      <color theme="1"/>
      <name val="Noto Serif TC Black"/>
      <family val="1"/>
    </font>
    <font>
      <sz val="12"/>
      <color theme="1"/>
      <name val="ㄅ源雲注音明體 M"/>
      <family val="1"/>
      <charset val="136"/>
    </font>
    <font>
      <sz val="12"/>
      <color theme="1"/>
      <name val="字咍源流明體 白話字 R"/>
      <family val="1"/>
      <charset val="136"/>
    </font>
    <font>
      <sz val="16"/>
      <color theme="1"/>
      <name val="新細明體"/>
      <family val="2"/>
    </font>
    <font>
      <sz val="16"/>
      <color theme="1"/>
      <name val="微軟正黑體"/>
      <family val="2"/>
      <charset val="136"/>
    </font>
    <font>
      <b/>
      <sz val="36"/>
      <color rgb="FFFF0000"/>
      <name val="Noto Serif TC Black"/>
      <family val="1"/>
      <charset val="136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rgb="FF00D25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 style="thin">
        <color rgb="FF777777"/>
      </top>
      <bottom style="thin">
        <color rgb="FF777777"/>
      </bottom>
      <diagonal/>
    </border>
    <border>
      <left/>
      <right/>
      <top style="thin">
        <color rgb="FF777777"/>
      </top>
      <bottom style="thin">
        <color rgb="FF777777"/>
      </bottom>
      <diagonal/>
    </border>
    <border>
      <left/>
      <right style="thin">
        <color rgb="FF777777"/>
      </right>
      <top style="thin">
        <color rgb="FF777777"/>
      </top>
      <bottom style="thin">
        <color rgb="FF777777"/>
      </bottom>
      <diagonal/>
    </border>
  </borders>
  <cellStyleXfs count="6">
    <xf numFmtId="0" fontId="0" fillId="0" borderId="0">
      <alignment vertical="center"/>
    </xf>
    <xf numFmtId="0" fontId="2" fillId="0" borderId="0"/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103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0" fontId="5" fillId="2" borderId="1" xfId="2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8" fillId="2" borderId="1" xfId="4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5" fillId="3" borderId="1" xfId="2" applyFont="1" applyFill="1" applyBorder="1" applyAlignment="1">
      <alignment horizontal="center" vertical="center"/>
    </xf>
    <xf numFmtId="0" fontId="7" fillId="3" borderId="1" xfId="3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11" fillId="2" borderId="1" xfId="3" applyFont="1" applyFill="1" applyBorder="1" applyAlignment="1">
      <alignment horizontal="center" vertical="center"/>
    </xf>
    <xf numFmtId="0" fontId="12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2"/>
    </xf>
    <xf numFmtId="0" fontId="8" fillId="2" borderId="1" xfId="4" applyFont="1" applyFill="1" applyBorder="1" applyAlignment="1">
      <alignment horizontal="left" vertical="center" indent="2"/>
    </xf>
    <xf numFmtId="0" fontId="19" fillId="3" borderId="1" xfId="4" applyFont="1" applyFill="1" applyBorder="1" applyAlignment="1">
      <alignment horizontal="center"/>
    </xf>
    <xf numFmtId="0" fontId="19" fillId="2" borderId="1" xfId="4" applyFont="1" applyFill="1" applyBorder="1" applyAlignment="1">
      <alignment horizontal="center"/>
    </xf>
    <xf numFmtId="0" fontId="20" fillId="3" borderId="1" xfId="3" applyFont="1" applyFill="1" applyBorder="1" applyAlignment="1">
      <alignment horizontal="center" vertical="center"/>
    </xf>
    <xf numFmtId="0" fontId="20" fillId="2" borderId="1" xfId="3" quotePrefix="1" applyFont="1" applyFill="1" applyBorder="1" applyAlignment="1">
      <alignment horizontal="center" vertical="center"/>
    </xf>
    <xf numFmtId="0" fontId="20" fillId="2" borderId="1" xfId="3" applyFont="1" applyFill="1" applyBorder="1" applyAlignment="1">
      <alignment horizontal="center" vertical="center"/>
    </xf>
    <xf numFmtId="0" fontId="20" fillId="3" borderId="1" xfId="3" quotePrefix="1" applyFont="1" applyFill="1" applyBorder="1" applyAlignment="1">
      <alignment horizontal="center" vertical="center"/>
    </xf>
    <xf numFmtId="0" fontId="21" fillId="3" borderId="1" xfId="2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3" fillId="2" borderId="1" xfId="1" applyFont="1" applyFill="1" applyBorder="1" applyAlignment="1">
      <alignment horizontal="center" vertical="center"/>
    </xf>
    <xf numFmtId="0" fontId="23" fillId="3" borderId="1" xfId="1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1"/>
    </xf>
    <xf numFmtId="0" fontId="8" fillId="2" borderId="1" xfId="4" applyFont="1" applyFill="1" applyBorder="1" applyAlignment="1">
      <alignment horizontal="left" vertical="center" indent="1"/>
    </xf>
    <xf numFmtId="0" fontId="24" fillId="3" borderId="1" xfId="3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26" fillId="0" borderId="0" xfId="0" applyFont="1">
      <alignment vertical="center"/>
    </xf>
    <xf numFmtId="0" fontId="27" fillId="5" borderId="5" xfId="0" applyFont="1" applyFill="1" applyBorder="1" applyAlignment="1">
      <alignment horizontal="center" vertical="top" wrapText="1"/>
    </xf>
    <xf numFmtId="0" fontId="28" fillId="5" borderId="5" xfId="5" applyFont="1" applyFill="1" applyBorder="1" applyAlignment="1">
      <alignment horizontal="center" vertical="top" wrapText="1"/>
    </xf>
    <xf numFmtId="0" fontId="29" fillId="5" borderId="5" xfId="0" applyFont="1" applyFill="1" applyBorder="1" applyAlignment="1">
      <alignment horizontal="center" vertical="top" wrapText="1"/>
    </xf>
    <xf numFmtId="0" fontId="28" fillId="5" borderId="5" xfId="5" applyFont="1" applyFill="1" applyBorder="1" applyAlignment="1">
      <alignment horizontal="left" vertical="top" wrapText="1"/>
    </xf>
    <xf numFmtId="0" fontId="29" fillId="5" borderId="5" xfId="0" applyFont="1" applyFill="1" applyBorder="1" applyAlignment="1">
      <alignment horizontal="left" vertical="top" wrapText="1"/>
    </xf>
    <xf numFmtId="0" fontId="32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34" fillId="3" borderId="1" xfId="4" applyFont="1" applyFill="1" applyBorder="1" applyAlignment="1">
      <alignment horizontal="center"/>
    </xf>
    <xf numFmtId="0" fontId="34" fillId="2" borderId="1" xfId="4" applyFont="1" applyFill="1" applyBorder="1" applyAlignment="1">
      <alignment horizontal="center"/>
    </xf>
    <xf numFmtId="0" fontId="34" fillId="0" borderId="1" xfId="4" applyFont="1" applyBorder="1" applyAlignment="1">
      <alignment horizontal="center"/>
    </xf>
    <xf numFmtId="0" fontId="13" fillId="0" borderId="1" xfId="4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0" fontId="8" fillId="0" borderId="1" xfId="4" applyFont="1" applyBorder="1" applyAlignment="1">
      <alignment horizontal="center" vertical="center"/>
    </xf>
    <xf numFmtId="0" fontId="35" fillId="0" borderId="1" xfId="4" applyFont="1" applyBorder="1" applyAlignment="1">
      <alignment horizontal="center"/>
    </xf>
    <xf numFmtId="0" fontId="36" fillId="0" borderId="1" xfId="4" applyFont="1" applyBorder="1" applyAlignment="1">
      <alignment horizontal="center"/>
    </xf>
    <xf numFmtId="0" fontId="5" fillId="6" borderId="1" xfId="2" applyFont="1" applyFill="1" applyBorder="1" applyAlignment="1">
      <alignment horizontal="center" vertical="center"/>
    </xf>
    <xf numFmtId="0" fontId="7" fillId="6" borderId="1" xfId="3" applyFont="1" applyFill="1" applyBorder="1" applyAlignment="1">
      <alignment horizontal="center" vertical="center"/>
    </xf>
    <xf numFmtId="0" fontId="13" fillId="6" borderId="1" xfId="4" applyFont="1" applyFill="1" applyBorder="1" applyAlignment="1">
      <alignment horizontal="center" vertical="center"/>
    </xf>
    <xf numFmtId="0" fontId="36" fillId="6" borderId="1" xfId="4" applyFont="1" applyFill="1" applyBorder="1" applyAlignment="1">
      <alignment horizontal="center"/>
    </xf>
    <xf numFmtId="0" fontId="34" fillId="6" borderId="1" xfId="4" applyFont="1" applyFill="1" applyBorder="1" applyAlignment="1">
      <alignment horizontal="center"/>
    </xf>
    <xf numFmtId="0" fontId="35" fillId="6" borderId="1" xfId="4" applyFont="1" applyFill="1" applyBorder="1" applyAlignment="1">
      <alignment horizontal="center"/>
    </xf>
    <xf numFmtId="0" fontId="13" fillId="0" borderId="1" xfId="4" applyFont="1" applyBorder="1" applyAlignment="1">
      <alignment horizontal="center" vertical="center" wrapText="1"/>
    </xf>
    <xf numFmtId="0" fontId="38" fillId="3" borderId="1" xfId="3" applyFont="1" applyFill="1" applyBorder="1" applyAlignment="1">
      <alignment horizontal="center" vertical="center"/>
    </xf>
    <xf numFmtId="0" fontId="38" fillId="2" borderId="1" xfId="3" quotePrefix="1" applyFont="1" applyFill="1" applyBorder="1" applyAlignment="1">
      <alignment horizontal="center" vertical="center"/>
    </xf>
    <xf numFmtId="0" fontId="38" fillId="2" borderId="1" xfId="3" applyFont="1" applyFill="1" applyBorder="1" applyAlignment="1">
      <alignment horizontal="center" vertical="center"/>
    </xf>
    <xf numFmtId="0" fontId="38" fillId="3" borderId="1" xfId="3" quotePrefix="1" applyFont="1" applyFill="1" applyBorder="1" applyAlignment="1">
      <alignment horizontal="center" vertical="center"/>
    </xf>
    <xf numFmtId="0" fontId="39" fillId="3" borderId="1" xfId="1" applyFont="1" applyFill="1" applyBorder="1" applyAlignment="1">
      <alignment horizontal="left" vertical="center"/>
    </xf>
    <xf numFmtId="0" fontId="40" fillId="3" borderId="1" xfId="2" applyFont="1" applyFill="1" applyBorder="1" applyAlignment="1">
      <alignment horizontal="left" vertical="center"/>
    </xf>
    <xf numFmtId="0" fontId="39" fillId="2" borderId="1" xfId="1" applyFont="1" applyFill="1" applyBorder="1" applyAlignment="1">
      <alignment horizontal="left" vertical="center"/>
    </xf>
    <xf numFmtId="0" fontId="41" fillId="2" borderId="1" xfId="2" applyFont="1" applyFill="1" applyBorder="1" applyAlignment="1">
      <alignment horizontal="left" vertical="center"/>
    </xf>
    <xf numFmtId="0" fontId="41" fillId="3" borderId="1" xfId="2" applyFont="1" applyFill="1" applyBorder="1" applyAlignment="1">
      <alignment horizontal="left" vertical="center"/>
    </xf>
    <xf numFmtId="0" fontId="42" fillId="3" borderId="1" xfId="4" applyFont="1" applyFill="1" applyBorder="1" applyAlignment="1">
      <alignment horizontal="left" vertical="center"/>
    </xf>
    <xf numFmtId="0" fontId="42" fillId="3" borderId="1" xfId="4" applyFont="1" applyFill="1" applyBorder="1" applyAlignment="1">
      <alignment horizontal="center" vertical="center"/>
    </xf>
    <xf numFmtId="0" fontId="43" fillId="3" borderId="1" xfId="3" applyFont="1" applyFill="1" applyBorder="1" applyAlignment="1">
      <alignment horizontal="center" vertical="center"/>
    </xf>
    <xf numFmtId="0" fontId="44" fillId="2" borderId="1" xfId="4" applyFont="1" applyFill="1" applyBorder="1" applyAlignment="1">
      <alignment horizontal="left" vertical="center"/>
    </xf>
    <xf numFmtId="0" fontId="44" fillId="2" borderId="1" xfId="4" applyFont="1" applyFill="1" applyBorder="1" applyAlignment="1">
      <alignment horizontal="center" vertical="center"/>
    </xf>
    <xf numFmtId="0" fontId="43" fillId="2" borderId="1" xfId="3" applyFont="1" applyFill="1" applyBorder="1" applyAlignment="1">
      <alignment horizontal="center" vertical="center"/>
    </xf>
    <xf numFmtId="0" fontId="45" fillId="0" borderId="0" xfId="0" applyFont="1">
      <alignment vertical="center"/>
    </xf>
    <xf numFmtId="0" fontId="43" fillId="3" borderId="1" xfId="3" quotePrefix="1" applyFont="1" applyFill="1" applyBorder="1" applyAlignment="1">
      <alignment horizontal="center" vertical="center"/>
    </xf>
    <xf numFmtId="0" fontId="44" fillId="7" borderId="1" xfId="4" applyFont="1" applyFill="1" applyBorder="1" applyAlignment="1">
      <alignment horizontal="center" vertical="center"/>
    </xf>
    <xf numFmtId="0" fontId="43" fillId="7" borderId="1" xfId="3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top" wrapText="1"/>
    </xf>
    <xf numFmtId="0" fontId="30" fillId="5" borderId="7" xfId="0" applyFont="1" applyFill="1" applyBorder="1" applyAlignment="1">
      <alignment horizontal="center" vertical="top" wrapText="1"/>
    </xf>
    <xf numFmtId="0" fontId="30" fillId="5" borderId="8" xfId="0" applyFont="1" applyFill="1" applyBorder="1" applyAlignment="1">
      <alignment horizontal="center" vertical="top" wrapText="1"/>
    </xf>
    <xf numFmtId="0" fontId="28" fillId="0" borderId="0" xfId="5" applyFont="1" applyAlignment="1">
      <alignment horizontal="left" vertical="center" wrapText="1"/>
    </xf>
    <xf numFmtId="0" fontId="14" fillId="4" borderId="3" xfId="2" applyFont="1" applyFill="1" applyBorder="1" applyAlignment="1">
      <alignment horizontal="center" vertical="center"/>
    </xf>
    <xf numFmtId="0" fontId="14" fillId="4" borderId="2" xfId="2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35" fillId="0" borderId="1" xfId="4" applyFont="1" applyBorder="1" applyAlignment="1">
      <alignment horizontal="left" indent="1"/>
    </xf>
    <xf numFmtId="0" fontId="35" fillId="6" borderId="1" xfId="4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8" fillId="0" borderId="0" xfId="0" applyFont="1" applyFill="1">
      <alignment vertical="center"/>
    </xf>
    <xf numFmtId="0" fontId="48" fillId="0" borderId="0" xfId="0" applyFont="1">
      <alignment vertical="center"/>
    </xf>
    <xf numFmtId="0" fontId="13" fillId="8" borderId="1" xfId="4" applyFont="1" applyFill="1" applyBorder="1" applyAlignment="1">
      <alignment horizontal="center" vertical="center"/>
    </xf>
    <xf numFmtId="0" fontId="7" fillId="8" borderId="1" xfId="3" applyFont="1" applyFill="1" applyBorder="1" applyAlignment="1">
      <alignment horizontal="center" vertical="center"/>
    </xf>
    <xf numFmtId="0" fontId="36" fillId="8" borderId="1" xfId="4" applyFont="1" applyFill="1" applyBorder="1" applyAlignment="1">
      <alignment horizontal="center"/>
    </xf>
    <xf numFmtId="0" fontId="34" fillId="8" borderId="1" xfId="4" applyFont="1" applyFill="1" applyBorder="1" applyAlignment="1">
      <alignment horizontal="center"/>
    </xf>
    <xf numFmtId="0" fontId="35" fillId="8" borderId="1" xfId="4" applyFont="1" applyFill="1" applyBorder="1" applyAlignment="1">
      <alignment horizontal="left" indent="1"/>
    </xf>
    <xf numFmtId="0" fontId="35" fillId="8" borderId="1" xfId="4" applyFont="1" applyFill="1" applyBorder="1" applyAlignment="1">
      <alignment horizontal="center"/>
    </xf>
    <xf numFmtId="0" fontId="49" fillId="3" borderId="1" xfId="3" applyFont="1" applyFill="1" applyBorder="1" applyAlignment="1">
      <alignment horizontal="center" vertical="center"/>
    </xf>
    <xf numFmtId="0" fontId="49" fillId="2" borderId="1" xfId="3" quotePrefix="1" applyFont="1" applyFill="1" applyBorder="1" applyAlignment="1">
      <alignment horizontal="center" vertical="center"/>
    </xf>
    <xf numFmtId="0" fontId="42" fillId="7" borderId="1" xfId="4" applyFont="1" applyFill="1" applyBorder="1" applyAlignment="1">
      <alignment horizontal="center" vertical="center"/>
    </xf>
    <xf numFmtId="0" fontId="49" fillId="3" borderId="1" xfId="3" quotePrefix="1" applyFont="1" applyFill="1" applyBorder="1" applyAlignment="1">
      <alignment horizontal="center" vertical="center"/>
    </xf>
    <xf numFmtId="0" fontId="49" fillId="2" borderId="1" xfId="3" applyFont="1" applyFill="1" applyBorder="1" applyAlignment="1">
      <alignment horizontal="center" vertical="center"/>
    </xf>
  </cellXfs>
  <cellStyles count="6">
    <cellStyle name="一般" xfId="0" builtinId="0"/>
    <cellStyle name="一般 2" xfId="3" xr:uid="{F80E22BE-4E86-4EE6-9A84-AB69E57DE0CA}"/>
    <cellStyle name="一般 3" xfId="2" xr:uid="{339E2E32-D091-4B1C-8D20-0F19EFF7140B}"/>
    <cellStyle name="一般 4 2" xfId="1" xr:uid="{EA1B35F1-F8C7-4DBF-80A8-32E3C86E8708}"/>
    <cellStyle name="一般 5" xfId="4" xr:uid="{1764E436-0C56-4749-A903-F277CDD5CEB5}"/>
    <cellStyle name="超連結" xfId="5" builtinId="8"/>
  </cellStyles>
  <dxfs count="0"/>
  <tableStyles count="0" defaultTableStyle="TableStyleMedium2" defaultPivotStyle="PivotStyleLight16"/>
  <colors>
    <mruColors>
      <color rgb="FF00D25F"/>
      <color rgb="FF00823B"/>
      <color rgb="FF00E6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zi-hi.com/sp/uni/01D2" TargetMode="External"/><Relationship Id="rId21" Type="http://schemas.openxmlformats.org/officeDocument/2006/relationships/hyperlink" Target="https://zi-hi.com/sp/uni/01D0" TargetMode="External"/><Relationship Id="rId42" Type="http://schemas.openxmlformats.org/officeDocument/2006/relationships/hyperlink" Target="https://zi-hi.com/sp/uni/01CD" TargetMode="External"/><Relationship Id="rId47" Type="http://schemas.openxmlformats.org/officeDocument/2006/relationships/hyperlink" Target="https://zi-hi.com/sp/uni/011A" TargetMode="External"/><Relationship Id="rId63" Type="http://schemas.openxmlformats.org/officeDocument/2006/relationships/hyperlink" Target="https://zi-hi.com/sp/uni/01D3" TargetMode="External"/><Relationship Id="rId68" Type="http://schemas.openxmlformats.org/officeDocument/2006/relationships/hyperlink" Target="https://zi-hi.com/sp/uni/01F8" TargetMode="External"/><Relationship Id="rId16" Type="http://schemas.openxmlformats.org/officeDocument/2006/relationships/hyperlink" Target="https://zi-hi.com/sp/uni/011B" TargetMode="External"/><Relationship Id="rId11" Type="http://schemas.openxmlformats.org/officeDocument/2006/relationships/hyperlink" Target="https://zi-hi.com/sp/uni/01CE" TargetMode="External"/><Relationship Id="rId24" Type="http://schemas.openxmlformats.org/officeDocument/2006/relationships/hyperlink" Target="https://zi-hi.com/sp/uni/00F2" TargetMode="External"/><Relationship Id="rId32" Type="http://schemas.openxmlformats.org/officeDocument/2006/relationships/hyperlink" Target="https://zi-hi.com/sp/uni/01D4" TargetMode="External"/><Relationship Id="rId37" Type="http://schemas.openxmlformats.org/officeDocument/2006/relationships/hyperlink" Target="https://zi-hi.com/sp/uni/01F9" TargetMode="External"/><Relationship Id="rId40" Type="http://schemas.openxmlformats.org/officeDocument/2006/relationships/hyperlink" Target="https://zi-hi.com/sp/uni/00C0" TargetMode="External"/><Relationship Id="rId45" Type="http://schemas.openxmlformats.org/officeDocument/2006/relationships/hyperlink" Target="https://zi-hi.com/sp/uni/00C8" TargetMode="External"/><Relationship Id="rId53" Type="http://schemas.openxmlformats.org/officeDocument/2006/relationships/hyperlink" Target="https://zi-hi.com/sp/uni/012A" TargetMode="External"/><Relationship Id="rId58" Type="http://schemas.openxmlformats.org/officeDocument/2006/relationships/hyperlink" Target="https://zi-hi.com/sp/uni/014C" TargetMode="External"/><Relationship Id="rId66" Type="http://schemas.openxmlformats.org/officeDocument/2006/relationships/hyperlink" Target="https://zi-hi.com/sp/uni/1E3E" TargetMode="External"/><Relationship Id="rId74" Type="http://schemas.openxmlformats.org/officeDocument/2006/relationships/hyperlink" Target="https://zi-hi.com/sp/uni/030C" TargetMode="External"/><Relationship Id="rId5" Type="http://schemas.openxmlformats.org/officeDocument/2006/relationships/hyperlink" Target="https://zi-hi.com/sp/uni/0304" TargetMode="External"/><Relationship Id="rId61" Type="http://schemas.openxmlformats.org/officeDocument/2006/relationships/hyperlink" Target="https://zi-hi.com/sp/uni/00D9" TargetMode="External"/><Relationship Id="rId19" Type="http://schemas.openxmlformats.org/officeDocument/2006/relationships/hyperlink" Target="https://zi-hi.com/sp/uni/00EC" TargetMode="External"/><Relationship Id="rId14" Type="http://schemas.openxmlformats.org/officeDocument/2006/relationships/hyperlink" Target="https://zi-hi.com/sp/uni/00E8" TargetMode="External"/><Relationship Id="rId22" Type="http://schemas.openxmlformats.org/officeDocument/2006/relationships/hyperlink" Target="https://zi-hi.com/sp/uni/012B" TargetMode="External"/><Relationship Id="rId27" Type="http://schemas.openxmlformats.org/officeDocument/2006/relationships/hyperlink" Target="https://zi-hi.com/sp/uni/014D" TargetMode="External"/><Relationship Id="rId30" Type="http://schemas.openxmlformats.org/officeDocument/2006/relationships/hyperlink" Target="https://zi-hi.com/sp/uni/00F9" TargetMode="External"/><Relationship Id="rId35" Type="http://schemas.openxmlformats.org/officeDocument/2006/relationships/hyperlink" Target="https://zi-hi.com/sp/uni/1E3F" TargetMode="External"/><Relationship Id="rId43" Type="http://schemas.openxmlformats.org/officeDocument/2006/relationships/hyperlink" Target="https://zi-hi.com/sp/uni/0100" TargetMode="External"/><Relationship Id="rId48" Type="http://schemas.openxmlformats.org/officeDocument/2006/relationships/hyperlink" Target="https://zi-hi.com/sp/uni/0112" TargetMode="External"/><Relationship Id="rId56" Type="http://schemas.openxmlformats.org/officeDocument/2006/relationships/hyperlink" Target="https://zi-hi.com/sp/uni/00D4" TargetMode="External"/><Relationship Id="rId64" Type="http://schemas.openxmlformats.org/officeDocument/2006/relationships/hyperlink" Target="https://zi-hi.com/sp/uni/016A" TargetMode="External"/><Relationship Id="rId69" Type="http://schemas.openxmlformats.org/officeDocument/2006/relationships/hyperlink" Target="https://zi-hi.com/sp/uni/0147" TargetMode="External"/><Relationship Id="rId77" Type="http://schemas.openxmlformats.org/officeDocument/2006/relationships/hyperlink" Target="https://zi-hi.com/sp/uni/030B" TargetMode="External"/><Relationship Id="rId8" Type="http://schemas.openxmlformats.org/officeDocument/2006/relationships/hyperlink" Target="https://zi-hi.com/sp/uni/00E1" TargetMode="External"/><Relationship Id="rId51" Type="http://schemas.openxmlformats.org/officeDocument/2006/relationships/hyperlink" Target="https://zi-hi.com/sp/uni/00CE" TargetMode="External"/><Relationship Id="rId72" Type="http://schemas.openxmlformats.org/officeDocument/2006/relationships/hyperlink" Target="https://zi-hi.com/sp/uni/0300" TargetMode="External"/><Relationship Id="rId3" Type="http://schemas.openxmlformats.org/officeDocument/2006/relationships/hyperlink" Target="https://zi-hi.com/sp/uni/0302" TargetMode="External"/><Relationship Id="rId12" Type="http://schemas.openxmlformats.org/officeDocument/2006/relationships/hyperlink" Target="https://zi-hi.com/sp/uni/0101" TargetMode="External"/><Relationship Id="rId17" Type="http://schemas.openxmlformats.org/officeDocument/2006/relationships/hyperlink" Target="https://zi-hi.com/sp/uni/0113" TargetMode="External"/><Relationship Id="rId25" Type="http://schemas.openxmlformats.org/officeDocument/2006/relationships/hyperlink" Target="https://zi-hi.com/sp/uni/00F4" TargetMode="External"/><Relationship Id="rId33" Type="http://schemas.openxmlformats.org/officeDocument/2006/relationships/hyperlink" Target="https://zi-hi.com/sp/uni/016B" TargetMode="External"/><Relationship Id="rId38" Type="http://schemas.openxmlformats.org/officeDocument/2006/relationships/hyperlink" Target="https://zi-hi.com/sp/uni/0148" TargetMode="External"/><Relationship Id="rId46" Type="http://schemas.openxmlformats.org/officeDocument/2006/relationships/hyperlink" Target="https://zi-hi.com/sp/uni/00CA" TargetMode="External"/><Relationship Id="rId59" Type="http://schemas.openxmlformats.org/officeDocument/2006/relationships/hyperlink" Target="https://zi-hi.com/sp/uni/0150" TargetMode="External"/><Relationship Id="rId67" Type="http://schemas.openxmlformats.org/officeDocument/2006/relationships/hyperlink" Target="https://zi-hi.com/sp/uni/0143" TargetMode="External"/><Relationship Id="rId20" Type="http://schemas.openxmlformats.org/officeDocument/2006/relationships/hyperlink" Target="https://zi-hi.com/sp/uni/00EE" TargetMode="External"/><Relationship Id="rId41" Type="http://schemas.openxmlformats.org/officeDocument/2006/relationships/hyperlink" Target="https://zi-hi.com/sp/uni/00C2" TargetMode="External"/><Relationship Id="rId54" Type="http://schemas.openxmlformats.org/officeDocument/2006/relationships/hyperlink" Target="https://zi-hi.com/sp/uni/00D3" TargetMode="External"/><Relationship Id="rId62" Type="http://schemas.openxmlformats.org/officeDocument/2006/relationships/hyperlink" Target="https://zi-hi.com/sp/uni/00DB" TargetMode="External"/><Relationship Id="rId70" Type="http://schemas.openxmlformats.org/officeDocument/2006/relationships/hyperlink" Target="https://zi-hi.com/%E7%99%BD%E8%A9%B1%E5%AD%97" TargetMode="External"/><Relationship Id="rId75" Type="http://schemas.openxmlformats.org/officeDocument/2006/relationships/hyperlink" Target="https://zi-hi.com/sp/uni/0304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15" Type="http://schemas.openxmlformats.org/officeDocument/2006/relationships/hyperlink" Target="https://zi-hi.com/sp/uni/00EA" TargetMode="External"/><Relationship Id="rId23" Type="http://schemas.openxmlformats.org/officeDocument/2006/relationships/hyperlink" Target="https://zi-hi.com/sp/uni/00F3" TargetMode="External"/><Relationship Id="rId28" Type="http://schemas.openxmlformats.org/officeDocument/2006/relationships/hyperlink" Target="https://zi-hi.com/sp/uni/0151" TargetMode="External"/><Relationship Id="rId36" Type="http://schemas.openxmlformats.org/officeDocument/2006/relationships/hyperlink" Target="https://zi-hi.com/sp/uni/0144" TargetMode="External"/><Relationship Id="rId49" Type="http://schemas.openxmlformats.org/officeDocument/2006/relationships/hyperlink" Target="https://zi-hi.com/sp/uni/00CD" TargetMode="External"/><Relationship Id="rId57" Type="http://schemas.openxmlformats.org/officeDocument/2006/relationships/hyperlink" Target="https://zi-hi.com/sp/uni/01D1" TargetMode="External"/><Relationship Id="rId10" Type="http://schemas.openxmlformats.org/officeDocument/2006/relationships/hyperlink" Target="https://zi-hi.com/sp/uni/00E2" TargetMode="External"/><Relationship Id="rId31" Type="http://schemas.openxmlformats.org/officeDocument/2006/relationships/hyperlink" Target="https://zi-hi.com/sp/uni/00FB" TargetMode="External"/><Relationship Id="rId44" Type="http://schemas.openxmlformats.org/officeDocument/2006/relationships/hyperlink" Target="https://zi-hi.com/sp/uni/00C9" TargetMode="External"/><Relationship Id="rId52" Type="http://schemas.openxmlformats.org/officeDocument/2006/relationships/hyperlink" Target="https://zi-hi.com/sp/uni/01CF" TargetMode="External"/><Relationship Id="rId60" Type="http://schemas.openxmlformats.org/officeDocument/2006/relationships/hyperlink" Target="https://zi-hi.com/sp/uni/00DA" TargetMode="External"/><Relationship Id="rId65" Type="http://schemas.openxmlformats.org/officeDocument/2006/relationships/hyperlink" Target="https://zi-hi.com/sp/uni/0170" TargetMode="External"/><Relationship Id="rId73" Type="http://schemas.openxmlformats.org/officeDocument/2006/relationships/hyperlink" Target="https://zi-hi.com/sp/uni/0302" TargetMode="External"/><Relationship Id="rId4" Type="http://schemas.openxmlformats.org/officeDocument/2006/relationships/hyperlink" Target="https://zi-hi.com/sp/uni/030C" TargetMode="External"/><Relationship Id="rId9" Type="http://schemas.openxmlformats.org/officeDocument/2006/relationships/hyperlink" Target="https://zi-hi.com/sp/uni/00E0" TargetMode="External"/><Relationship Id="rId13" Type="http://schemas.openxmlformats.org/officeDocument/2006/relationships/hyperlink" Target="https://zi-hi.com/sp/uni/00E9" TargetMode="External"/><Relationship Id="rId18" Type="http://schemas.openxmlformats.org/officeDocument/2006/relationships/hyperlink" Target="https://zi-hi.com/sp/uni/00ED" TargetMode="External"/><Relationship Id="rId39" Type="http://schemas.openxmlformats.org/officeDocument/2006/relationships/hyperlink" Target="https://zi-hi.com/sp/uni/00C1" TargetMode="External"/><Relationship Id="rId34" Type="http://schemas.openxmlformats.org/officeDocument/2006/relationships/hyperlink" Target="https://zi-hi.com/sp/uni/0171" TargetMode="External"/><Relationship Id="rId50" Type="http://schemas.openxmlformats.org/officeDocument/2006/relationships/hyperlink" Target="https://zi-hi.com/sp/uni/00CC" TargetMode="External"/><Relationship Id="rId55" Type="http://schemas.openxmlformats.org/officeDocument/2006/relationships/hyperlink" Target="https://zi-hi.com/sp/uni/00D2" TargetMode="External"/><Relationship Id="rId76" Type="http://schemas.openxmlformats.org/officeDocument/2006/relationships/hyperlink" Target="https://zi-hi.com/sp/uni/030D" TargetMode="External"/><Relationship Id="rId7" Type="http://schemas.openxmlformats.org/officeDocument/2006/relationships/hyperlink" Target="https://zi-hi.com/sp/uni/030B" TargetMode="External"/><Relationship Id="rId71" Type="http://schemas.openxmlformats.org/officeDocument/2006/relationships/hyperlink" Target="https://zi-hi.com/sp/uni/0301" TargetMode="External"/><Relationship Id="rId2" Type="http://schemas.openxmlformats.org/officeDocument/2006/relationships/hyperlink" Target="https://zi-hi.com/sp/uni/0300" TargetMode="External"/><Relationship Id="rId29" Type="http://schemas.openxmlformats.org/officeDocument/2006/relationships/hyperlink" Target="https://zi-hi.com/sp/uni/00FA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BB3E1-D1E0-449D-ACB7-CFE9630C3C54}">
  <dimension ref="B1:S23"/>
  <sheetViews>
    <sheetView workbookViewId="0">
      <selection activeCell="M8" sqref="M8"/>
    </sheetView>
  </sheetViews>
  <sheetFormatPr defaultRowHeight="30"/>
  <cols>
    <col min="2" max="2" width="13.125" customWidth="1"/>
    <col min="3" max="10" width="13" customWidth="1"/>
    <col min="13" max="13" width="9" style="39"/>
    <col min="16" max="16" width="9.125" customWidth="1"/>
    <col min="17" max="19" width="13.375" style="40" customWidth="1"/>
  </cols>
  <sheetData>
    <row r="1" spans="2:19">
      <c r="B1" s="33"/>
      <c r="C1" s="33"/>
      <c r="D1" s="33"/>
      <c r="E1" s="33"/>
      <c r="F1" s="33"/>
      <c r="G1" s="33"/>
      <c r="H1" s="33"/>
      <c r="I1" s="33"/>
      <c r="J1" s="33"/>
    </row>
    <row r="2" spans="2:19">
      <c r="B2" s="34" t="s">
        <v>51</v>
      </c>
      <c r="C2" s="34">
        <v>2</v>
      </c>
      <c r="D2" s="34">
        <v>3</v>
      </c>
      <c r="E2" s="34">
        <v>4</v>
      </c>
      <c r="F2" s="34">
        <v>5</v>
      </c>
      <c r="G2" s="34">
        <v>6</v>
      </c>
      <c r="H2" s="34">
        <v>7</v>
      </c>
      <c r="I2" s="34">
        <v>8</v>
      </c>
      <c r="J2" s="34">
        <v>9</v>
      </c>
    </row>
    <row r="3" spans="2:19" ht="42">
      <c r="B3" s="34" t="s">
        <v>52</v>
      </c>
      <c r="C3" s="35" t="s">
        <v>185</v>
      </c>
      <c r="D3" s="35" t="s">
        <v>186</v>
      </c>
      <c r="E3" s="36" t="s">
        <v>53</v>
      </c>
      <c r="F3" s="35" t="s">
        <v>120</v>
      </c>
      <c r="G3" s="35" t="s">
        <v>177</v>
      </c>
      <c r="H3" s="35" t="s">
        <v>178</v>
      </c>
      <c r="I3" s="35" t="s">
        <v>121</v>
      </c>
      <c r="J3" s="35" t="s">
        <v>122</v>
      </c>
      <c r="P3" s="35" t="s">
        <v>185</v>
      </c>
      <c r="Q3" s="39">
        <f xml:space="preserve"> IFERROR( HEX2DEC(RIGHT(P3,4)), "")</f>
        <v>769</v>
      </c>
      <c r="R3" s="39" t="str">
        <f xml:space="preserve"> IFERROR( _xlfn.CONCAT("o", _xlfn.UNICHAR(HEX2DEC(RIGHT(P3,4)))), "")</f>
        <v>ó</v>
      </c>
      <c r="S3" s="39" t="str">
        <f xml:space="preserve"> IFERROR( _xlfn.CONCAT("t", "o", _xlfn.UNICHAR(HEX2DEC(RIGHT(P3,4))), "ng"), "")</f>
        <v>tóng</v>
      </c>
    </row>
    <row r="4" spans="2:19" ht="42">
      <c r="B4" s="77" t="s">
        <v>54</v>
      </c>
      <c r="C4" s="78"/>
      <c r="D4" s="78"/>
      <c r="E4" s="78"/>
      <c r="F4" s="78"/>
      <c r="G4" s="78"/>
      <c r="H4" s="78"/>
      <c r="I4" s="78"/>
      <c r="J4" s="79"/>
      <c r="P4" s="35" t="s">
        <v>186</v>
      </c>
      <c r="Q4" s="39">
        <f t="shared" ref="Q4:Q10" si="0" xml:space="preserve"> IFERROR( HEX2DEC(RIGHT(P4,4)), "")</f>
        <v>768</v>
      </c>
      <c r="R4" s="39" t="str">
        <f t="shared" ref="R4:R10" si="1" xml:space="preserve"> IFERROR( _xlfn.CONCAT("o", _xlfn.UNICHAR(HEX2DEC(RIGHT(P4,4)))), "")</f>
        <v>ò</v>
      </c>
      <c r="S4" s="39" t="str">
        <f t="shared" ref="S4:S10" si="2" xml:space="preserve"> IFERROR( _xlfn.CONCAT("t", "o", _xlfn.UNICHAR(HEX2DEC(RIGHT(P4,4))), "ng"), "")</f>
        <v>tòng</v>
      </c>
    </row>
    <row r="5" spans="2:19">
      <c r="B5" s="34" t="s">
        <v>55</v>
      </c>
      <c r="C5" s="37" t="s">
        <v>123</v>
      </c>
      <c r="D5" s="37" t="s">
        <v>124</v>
      </c>
      <c r="E5" s="38" t="s">
        <v>56</v>
      </c>
      <c r="F5" s="37" t="s">
        <v>125</v>
      </c>
      <c r="G5" s="37" t="s">
        <v>179</v>
      </c>
      <c r="H5" s="37" t="s">
        <v>126</v>
      </c>
      <c r="I5" s="38" t="s">
        <v>57</v>
      </c>
      <c r="J5" s="38" t="s">
        <v>58</v>
      </c>
      <c r="L5" t="s">
        <v>190</v>
      </c>
      <c r="M5" s="39">
        <f xml:space="preserve"> HEX2DEC(RIGHT(C3,4))</f>
        <v>769</v>
      </c>
      <c r="P5" s="36" t="s">
        <v>53</v>
      </c>
      <c r="Q5" s="39" t="str">
        <f t="shared" si="0"/>
        <v/>
      </c>
      <c r="R5" s="39" t="str">
        <f t="shared" si="1"/>
        <v/>
      </c>
      <c r="S5" s="39" t="str">
        <f t="shared" si="2"/>
        <v/>
      </c>
    </row>
    <row r="6" spans="2:19" ht="42">
      <c r="B6" s="34" t="s">
        <v>59</v>
      </c>
      <c r="C6" s="37" t="s">
        <v>127</v>
      </c>
      <c r="D6" s="37" t="s">
        <v>128</v>
      </c>
      <c r="E6" s="38" t="s">
        <v>60</v>
      </c>
      <c r="F6" s="37" t="s">
        <v>129</v>
      </c>
      <c r="G6" s="37" t="s">
        <v>130</v>
      </c>
      <c r="H6" s="37" t="s">
        <v>131</v>
      </c>
      <c r="I6" s="38" t="s">
        <v>61</v>
      </c>
      <c r="J6" s="38" t="s">
        <v>62</v>
      </c>
      <c r="L6" t="s">
        <v>191</v>
      </c>
      <c r="M6" s="39" t="str">
        <f xml:space="preserve"> _xlfn.CONCAT("a", _xlfn.UNICHAR(M5))</f>
        <v>á</v>
      </c>
      <c r="P6" s="35" t="s">
        <v>120</v>
      </c>
      <c r="Q6" s="39">
        <f t="shared" si="0"/>
        <v>770</v>
      </c>
      <c r="R6" s="39" t="str">
        <f t="shared" si="1"/>
        <v>ô</v>
      </c>
      <c r="S6" s="39" t="str">
        <f t="shared" si="2"/>
        <v>tông</v>
      </c>
    </row>
    <row r="7" spans="2:19" ht="42">
      <c r="B7" s="34" t="s">
        <v>63</v>
      </c>
      <c r="C7" s="37" t="s">
        <v>132</v>
      </c>
      <c r="D7" s="37" t="s">
        <v>133</v>
      </c>
      <c r="E7" s="38" t="s">
        <v>64</v>
      </c>
      <c r="F7" s="37" t="s">
        <v>134</v>
      </c>
      <c r="G7" s="37" t="s">
        <v>180</v>
      </c>
      <c r="H7" s="37" t="s">
        <v>135</v>
      </c>
      <c r="I7" s="38" t="s">
        <v>65</v>
      </c>
      <c r="J7" s="38" t="s">
        <v>66</v>
      </c>
      <c r="P7" s="35" t="s">
        <v>177</v>
      </c>
      <c r="Q7" s="39">
        <f t="shared" si="0"/>
        <v>780</v>
      </c>
      <c r="R7" s="39" t="str">
        <f t="shared" si="1"/>
        <v>ǒ</v>
      </c>
      <c r="S7" s="39" t="str">
        <f t="shared" si="2"/>
        <v>tǒng</v>
      </c>
    </row>
    <row r="8" spans="2:19" ht="42">
      <c r="B8" s="34" t="s">
        <v>67</v>
      </c>
      <c r="C8" s="37" t="s">
        <v>136</v>
      </c>
      <c r="D8" s="37" t="s">
        <v>137</v>
      </c>
      <c r="E8" s="38" t="s">
        <v>68</v>
      </c>
      <c r="F8" s="37" t="s">
        <v>138</v>
      </c>
      <c r="G8" s="37" t="s">
        <v>181</v>
      </c>
      <c r="H8" s="37" t="s">
        <v>139</v>
      </c>
      <c r="I8" s="38" t="s">
        <v>69</v>
      </c>
      <c r="J8" s="37" t="s">
        <v>140</v>
      </c>
      <c r="M8" s="39" t="str">
        <f xml:space="preserve"> _xlfn.CONCAT("t", "o", _xlfn.UNICHAR(M5), "ng")</f>
        <v>tóng</v>
      </c>
      <c r="P8" s="35" t="s">
        <v>178</v>
      </c>
      <c r="Q8" s="39">
        <f t="shared" si="0"/>
        <v>772</v>
      </c>
      <c r="R8" s="39" t="str">
        <f t="shared" si="1"/>
        <v>ō</v>
      </c>
      <c r="S8" s="39" t="str">
        <f xml:space="preserve"> IFERROR( _xlfn.CONCAT("t", "o", _xlfn.UNICHAR(HEX2DEC(RIGHT("U+0304",4))), "ng"), "")</f>
        <v>tōng</v>
      </c>
    </row>
    <row r="9" spans="2:19" ht="42">
      <c r="B9" s="34" t="s">
        <v>70</v>
      </c>
      <c r="C9" s="37" t="s">
        <v>141</v>
      </c>
      <c r="D9" s="37" t="s">
        <v>142</v>
      </c>
      <c r="E9" s="38" t="s">
        <v>71</v>
      </c>
      <c r="F9" s="37" t="s">
        <v>143</v>
      </c>
      <c r="G9" s="37" t="s">
        <v>182</v>
      </c>
      <c r="H9" s="37" t="s">
        <v>144</v>
      </c>
      <c r="I9" s="38" t="s">
        <v>72</v>
      </c>
      <c r="J9" s="37" t="s">
        <v>145</v>
      </c>
      <c r="P9" s="35" t="s">
        <v>121</v>
      </c>
      <c r="Q9" s="39">
        <f t="shared" si="0"/>
        <v>781</v>
      </c>
      <c r="R9" s="39" t="str">
        <f t="shared" si="1"/>
        <v>o̍</v>
      </c>
      <c r="S9" s="39" t="str">
        <f t="shared" si="2"/>
        <v>to̍ng</v>
      </c>
    </row>
    <row r="10" spans="2:19" ht="42">
      <c r="B10" s="34" t="s">
        <v>73</v>
      </c>
      <c r="C10" s="37" t="s">
        <v>146</v>
      </c>
      <c r="D10" s="38" t="s">
        <v>74</v>
      </c>
      <c r="E10" s="38" t="s">
        <v>75</v>
      </c>
      <c r="F10" s="38" t="s">
        <v>76</v>
      </c>
      <c r="G10" s="38" t="s">
        <v>77</v>
      </c>
      <c r="H10" s="38" t="s">
        <v>78</v>
      </c>
      <c r="I10" s="38" t="s">
        <v>79</v>
      </c>
      <c r="J10" s="38" t="s">
        <v>80</v>
      </c>
      <c r="P10" s="35" t="s">
        <v>122</v>
      </c>
      <c r="Q10" s="39">
        <f t="shared" si="0"/>
        <v>779</v>
      </c>
      <c r="R10" s="39" t="str">
        <f t="shared" si="1"/>
        <v>ő</v>
      </c>
      <c r="S10" s="39" t="str">
        <f t="shared" si="2"/>
        <v>tőng</v>
      </c>
    </row>
    <row r="11" spans="2:19">
      <c r="B11" s="34" t="s">
        <v>81</v>
      </c>
      <c r="C11" s="37" t="s">
        <v>147</v>
      </c>
      <c r="D11" s="37" t="s">
        <v>148</v>
      </c>
      <c r="E11" s="38" t="s">
        <v>82</v>
      </c>
      <c r="F11" s="38" t="s">
        <v>83</v>
      </c>
      <c r="G11" s="37" t="s">
        <v>149</v>
      </c>
      <c r="H11" s="38" t="s">
        <v>84</v>
      </c>
      <c r="I11" s="38" t="s">
        <v>85</v>
      </c>
      <c r="J11" s="38" t="s">
        <v>86</v>
      </c>
    </row>
    <row r="12" spans="2:19">
      <c r="B12" s="77" t="s">
        <v>87</v>
      </c>
      <c r="C12" s="78"/>
      <c r="D12" s="78"/>
      <c r="E12" s="78"/>
      <c r="F12" s="78"/>
      <c r="G12" s="78"/>
      <c r="H12" s="78"/>
      <c r="I12" s="78"/>
      <c r="J12" s="79"/>
    </row>
    <row r="13" spans="2:19">
      <c r="B13" s="34" t="s">
        <v>88</v>
      </c>
      <c r="C13" s="37" t="s">
        <v>150</v>
      </c>
      <c r="D13" s="37" t="s">
        <v>151</v>
      </c>
      <c r="E13" s="38" t="s">
        <v>89</v>
      </c>
      <c r="F13" s="37" t="s">
        <v>152</v>
      </c>
      <c r="G13" s="37" t="s">
        <v>183</v>
      </c>
      <c r="H13" s="37" t="s">
        <v>153</v>
      </c>
      <c r="I13" s="38" t="s">
        <v>90</v>
      </c>
      <c r="J13" s="38" t="s">
        <v>91</v>
      </c>
    </row>
    <row r="14" spans="2:19">
      <c r="B14" s="34" t="s">
        <v>92</v>
      </c>
      <c r="C14" s="37" t="s">
        <v>154</v>
      </c>
      <c r="D14" s="37" t="s">
        <v>155</v>
      </c>
      <c r="E14" s="38" t="s">
        <v>93</v>
      </c>
      <c r="F14" s="37" t="s">
        <v>156</v>
      </c>
      <c r="G14" s="37" t="s">
        <v>157</v>
      </c>
      <c r="H14" s="37" t="s">
        <v>158</v>
      </c>
      <c r="I14" s="38" t="s">
        <v>94</v>
      </c>
      <c r="J14" s="38" t="s">
        <v>95</v>
      </c>
    </row>
    <row r="15" spans="2:19">
      <c r="B15" s="34" t="s">
        <v>96</v>
      </c>
      <c r="C15" s="37" t="s">
        <v>159</v>
      </c>
      <c r="D15" s="37" t="s">
        <v>160</v>
      </c>
      <c r="E15" s="38" t="s">
        <v>97</v>
      </c>
      <c r="F15" s="37" t="s">
        <v>161</v>
      </c>
      <c r="G15" s="37" t="s">
        <v>162</v>
      </c>
      <c r="H15" s="37" t="s">
        <v>187</v>
      </c>
      <c r="I15" s="38" t="s">
        <v>98</v>
      </c>
      <c r="J15" s="38" t="s">
        <v>99</v>
      </c>
    </row>
    <row r="16" spans="2:19">
      <c r="B16" s="34" t="s">
        <v>100</v>
      </c>
      <c r="C16" s="37" t="s">
        <v>163</v>
      </c>
      <c r="D16" s="37" t="s">
        <v>164</v>
      </c>
      <c r="E16" s="38" t="s">
        <v>101</v>
      </c>
      <c r="F16" s="37" t="s">
        <v>165</v>
      </c>
      <c r="G16" s="37" t="s">
        <v>184</v>
      </c>
      <c r="H16" s="37" t="s">
        <v>166</v>
      </c>
      <c r="I16" s="38" t="s">
        <v>102</v>
      </c>
      <c r="J16" s="37" t="s">
        <v>167</v>
      </c>
    </row>
    <row r="17" spans="2:10">
      <c r="B17" s="34" t="s">
        <v>103</v>
      </c>
      <c r="C17" s="37" t="s">
        <v>168</v>
      </c>
      <c r="D17" s="37" t="s">
        <v>169</v>
      </c>
      <c r="E17" s="38" t="s">
        <v>104</v>
      </c>
      <c r="F17" s="37" t="s">
        <v>170</v>
      </c>
      <c r="G17" s="37" t="s">
        <v>171</v>
      </c>
      <c r="H17" s="37" t="s">
        <v>188</v>
      </c>
      <c r="I17" s="38" t="s">
        <v>105</v>
      </c>
      <c r="J17" s="37" t="s">
        <v>172</v>
      </c>
    </row>
    <row r="18" spans="2:10">
      <c r="B18" s="34" t="s">
        <v>106</v>
      </c>
      <c r="C18" s="37" t="s">
        <v>173</v>
      </c>
      <c r="D18" s="38" t="s">
        <v>107</v>
      </c>
      <c r="E18" s="38" t="s">
        <v>108</v>
      </c>
      <c r="F18" s="38" t="s">
        <v>109</v>
      </c>
      <c r="G18" s="38" t="s">
        <v>110</v>
      </c>
      <c r="H18" s="38" t="s">
        <v>111</v>
      </c>
      <c r="I18" s="38" t="s">
        <v>112</v>
      </c>
      <c r="J18" s="38" t="s">
        <v>113</v>
      </c>
    </row>
    <row r="19" spans="2:10">
      <c r="B19" s="34" t="s">
        <v>114</v>
      </c>
      <c r="C19" s="37" t="s">
        <v>174</v>
      </c>
      <c r="D19" s="37" t="s">
        <v>175</v>
      </c>
      <c r="E19" s="38" t="s">
        <v>115</v>
      </c>
      <c r="F19" s="38" t="s">
        <v>116</v>
      </c>
      <c r="G19" s="37" t="s">
        <v>176</v>
      </c>
      <c r="H19" s="38" t="s">
        <v>117</v>
      </c>
      <c r="I19" s="38" t="s">
        <v>118</v>
      </c>
      <c r="J19" s="38" t="s">
        <v>119</v>
      </c>
    </row>
    <row r="20" spans="2:10">
      <c r="B20" s="33"/>
      <c r="C20" s="33"/>
      <c r="D20" s="33"/>
      <c r="E20" s="33"/>
      <c r="F20" s="33"/>
      <c r="G20" s="33"/>
      <c r="H20" s="33"/>
      <c r="I20" s="33"/>
      <c r="J20" s="33"/>
    </row>
    <row r="21" spans="2:10">
      <c r="B21" s="33"/>
      <c r="C21" s="33"/>
      <c r="D21" s="33"/>
      <c r="E21" s="33"/>
      <c r="F21" s="33"/>
      <c r="G21" s="33"/>
      <c r="H21" s="33"/>
      <c r="I21" s="33"/>
      <c r="J21" s="33"/>
    </row>
    <row r="22" spans="2:10">
      <c r="B22" s="80" t="s">
        <v>189</v>
      </c>
      <c r="C22" s="80"/>
      <c r="D22" s="80"/>
      <c r="E22" s="80"/>
      <c r="F22" s="80"/>
      <c r="G22" s="80"/>
      <c r="H22" s="80"/>
      <c r="I22" s="80"/>
      <c r="J22" s="80"/>
    </row>
    <row r="23" spans="2:10">
      <c r="B23" s="33"/>
      <c r="C23" s="33"/>
      <c r="D23" s="33"/>
      <c r="E23" s="33"/>
      <c r="F23" s="33"/>
      <c r="G23" s="33"/>
      <c r="H23" s="33"/>
      <c r="I23" s="33"/>
      <c r="J23" s="33"/>
    </row>
  </sheetData>
  <mergeCells count="3">
    <mergeCell ref="B4:J4"/>
    <mergeCell ref="B12:J12"/>
    <mergeCell ref="B22:J22"/>
  </mergeCells>
  <phoneticPr fontId="1" type="noConversion"/>
  <hyperlinks>
    <hyperlink ref="C3" r:id="rId1" display="https://zi-hi.com/sp/uni/0301" xr:uid="{86954058-97C4-48A4-8447-9E7FDC259259}"/>
    <hyperlink ref="D3" r:id="rId2" display="https://zi-hi.com/sp/uni/0300" xr:uid="{4A7A5F0D-BB9C-491C-A425-2DBAE58E548A}"/>
    <hyperlink ref="F3" r:id="rId3" display="https://zi-hi.com/sp/uni/0302" xr:uid="{A2BB2A17-ABA1-4C49-BDA3-0F77E6105D46}"/>
    <hyperlink ref="G3" r:id="rId4" display="https://zi-hi.com/sp/uni/030C" xr:uid="{8719D9A7-34E3-4007-B91B-196788A49253}"/>
    <hyperlink ref="H3" r:id="rId5" display="https://zi-hi.com/sp/uni/0304" xr:uid="{3E64C67F-016B-4A5D-ABBA-145845EFBEAF}"/>
    <hyperlink ref="I3" r:id="rId6" display="https://zi-hi.com/sp/uni/030D" xr:uid="{4DA49773-886B-43A4-84FC-30CAF7B9C274}"/>
    <hyperlink ref="J3" r:id="rId7" display="https://zi-hi.com/sp/uni/030B" xr:uid="{898C7532-2DD5-4E08-AF67-4A9466424955}"/>
    <hyperlink ref="C5" r:id="rId8" display="https://zi-hi.com/sp/uni/00E1" xr:uid="{2F9614BC-FE6C-46DF-9260-FDC3B0C0DF12}"/>
    <hyperlink ref="D5" r:id="rId9" display="https://zi-hi.com/sp/uni/00E0" xr:uid="{EDAF804E-C7D5-4753-A67D-0ECB5E871CE1}"/>
    <hyperlink ref="F5" r:id="rId10" display="https://zi-hi.com/sp/uni/00E2" xr:uid="{18C7C986-A73D-4EFC-8BB5-11BCFDA9B0CA}"/>
    <hyperlink ref="G5" r:id="rId11" display="https://zi-hi.com/sp/uni/01CE" xr:uid="{28B52863-614A-4836-9D19-036B93815E31}"/>
    <hyperlink ref="H5" r:id="rId12" display="https://zi-hi.com/sp/uni/0101" xr:uid="{07F7F0BA-CC13-4215-B6BE-06845CE7801B}"/>
    <hyperlink ref="C6" r:id="rId13" display="https://zi-hi.com/sp/uni/00E9" xr:uid="{76CA98B4-C42E-462C-B206-39333AE1D224}"/>
    <hyperlink ref="D6" r:id="rId14" display="https://zi-hi.com/sp/uni/00E8" xr:uid="{A667CCEB-35A1-4060-A84D-3B42BE009C74}"/>
    <hyperlink ref="F6" r:id="rId15" display="https://zi-hi.com/sp/uni/00EA" xr:uid="{211E86AD-C59A-4951-B48C-11379C5ECA69}"/>
    <hyperlink ref="G6" r:id="rId16" display="https://zi-hi.com/sp/uni/011B" xr:uid="{240CE63D-947E-4D42-A2E4-9E4648EEC1AA}"/>
    <hyperlink ref="H6" r:id="rId17" display="https://zi-hi.com/sp/uni/0113" xr:uid="{E25B0590-C3A9-4940-9BDC-AE50B6C18736}"/>
    <hyperlink ref="C7" r:id="rId18" display="https://zi-hi.com/sp/uni/00ED" xr:uid="{AA2A5FBB-7107-4AB6-A3E8-1E5539FEC42B}"/>
    <hyperlink ref="D7" r:id="rId19" display="https://zi-hi.com/sp/uni/00EC" xr:uid="{C98C8B10-C662-41D9-87D9-80AEB2204E8B}"/>
    <hyperlink ref="F7" r:id="rId20" display="https://zi-hi.com/sp/uni/00EE" xr:uid="{7974942F-CB5E-484D-BE26-78A4F397E9FF}"/>
    <hyperlink ref="G7" r:id="rId21" display="https://zi-hi.com/sp/uni/01D0" xr:uid="{ADEACEC6-43FE-4B0F-95D4-1DED071636F5}"/>
    <hyperlink ref="H7" r:id="rId22" display="https://zi-hi.com/sp/uni/012B" xr:uid="{A627AA5B-8E72-4D3B-9955-4969F263BACC}"/>
    <hyperlink ref="C8" r:id="rId23" display="https://zi-hi.com/sp/uni/00F3" xr:uid="{EA3063B7-5820-464D-B37A-8FD57E0BBF8C}"/>
    <hyperlink ref="D8" r:id="rId24" display="https://zi-hi.com/sp/uni/00F2" xr:uid="{62DA8C11-C44F-459A-95F3-4B14A7C1D687}"/>
    <hyperlink ref="F8" r:id="rId25" display="https://zi-hi.com/sp/uni/00F4" xr:uid="{87976B1E-A3D7-4CD5-8C5F-4066EB019FE4}"/>
    <hyperlink ref="G8" r:id="rId26" display="https://zi-hi.com/sp/uni/01D2" xr:uid="{812D50CC-3688-45A2-A919-F5AF3F7BCC43}"/>
    <hyperlink ref="H8" r:id="rId27" display="https://zi-hi.com/sp/uni/014D" xr:uid="{4B40E8E2-611A-4C1C-8648-6603C2F6B486}"/>
    <hyperlink ref="J8" r:id="rId28" display="https://zi-hi.com/sp/uni/0151" xr:uid="{8EB7FB44-834C-4085-8A34-793BFA7E8136}"/>
    <hyperlink ref="C9" r:id="rId29" display="https://zi-hi.com/sp/uni/00FA" xr:uid="{D5E83346-AAD3-4A09-AF30-F87D9257C22F}"/>
    <hyperlink ref="D9" r:id="rId30" display="https://zi-hi.com/sp/uni/00F9" xr:uid="{DB4DD197-7D5A-4F98-9236-ECBA65B6E473}"/>
    <hyperlink ref="F9" r:id="rId31" display="https://zi-hi.com/sp/uni/00FB" xr:uid="{3A3F6B90-9971-4F85-B7D6-0E2A11C0EF46}"/>
    <hyperlink ref="G9" r:id="rId32" display="https://zi-hi.com/sp/uni/01D4" xr:uid="{6A866531-6801-492F-95D2-8C52738D8AEE}"/>
    <hyperlink ref="H9" r:id="rId33" display="https://zi-hi.com/sp/uni/016B" xr:uid="{E642D038-893C-4B44-A46C-12B7B33796D7}"/>
    <hyperlink ref="J9" r:id="rId34" display="https://zi-hi.com/sp/uni/0171" xr:uid="{2AA7A8BF-1195-4A42-BDF6-A032971EA14B}"/>
    <hyperlink ref="C10" r:id="rId35" display="https://zi-hi.com/sp/uni/1E3F" xr:uid="{53C2F032-7E6B-4D27-BD19-30731A0E7347}"/>
    <hyperlink ref="C11" r:id="rId36" display="https://zi-hi.com/sp/uni/0144" xr:uid="{22885F22-67DA-426F-9FE6-38BD61100253}"/>
    <hyperlink ref="D11" r:id="rId37" display="https://zi-hi.com/sp/uni/01F9" xr:uid="{E1F52F4A-E5EC-4F20-A019-23EB605C9464}"/>
    <hyperlink ref="G11" r:id="rId38" display="https://zi-hi.com/sp/uni/0148" xr:uid="{FE80D35B-7DA0-4B46-8E71-FF1EE86AB3D4}"/>
    <hyperlink ref="C13" r:id="rId39" display="https://zi-hi.com/sp/uni/00C1" xr:uid="{52220AC4-DB91-4C78-9432-0868C1641B1D}"/>
    <hyperlink ref="D13" r:id="rId40" display="https://zi-hi.com/sp/uni/00C0" xr:uid="{CDF15638-CF47-4842-8E52-25F410F126BD}"/>
    <hyperlink ref="F13" r:id="rId41" display="https://zi-hi.com/sp/uni/00C2" xr:uid="{51DF564C-32C4-4967-BC60-6382995B26A1}"/>
    <hyperlink ref="G13" r:id="rId42" display="https://zi-hi.com/sp/uni/01CD" xr:uid="{3BDB2240-4435-4A78-BF8E-CAAEB1CF5CBF}"/>
    <hyperlink ref="H13" r:id="rId43" display="https://zi-hi.com/sp/uni/0100" xr:uid="{FA9212CF-DBFB-4666-9652-6F5431CE2D0D}"/>
    <hyperlink ref="C14" r:id="rId44" display="https://zi-hi.com/sp/uni/00C9" xr:uid="{7CE612DC-5F09-48DD-A04C-0FAC46CC5165}"/>
    <hyperlink ref="D14" r:id="rId45" display="https://zi-hi.com/sp/uni/00C8" xr:uid="{B3C3AB4C-CBDB-4D88-B5E0-678DB38D2D3E}"/>
    <hyperlink ref="F14" r:id="rId46" display="https://zi-hi.com/sp/uni/00CA" xr:uid="{9FB23691-1351-4093-BCDF-E354C30D67DD}"/>
    <hyperlink ref="G14" r:id="rId47" display="https://zi-hi.com/sp/uni/011A" xr:uid="{B2C79576-DE8A-43D9-9C2D-D276C6A8F045}"/>
    <hyperlink ref="H14" r:id="rId48" display="https://zi-hi.com/sp/uni/0112" xr:uid="{D58B0CFD-51DB-4EB9-BB91-9EA128BBF2F4}"/>
    <hyperlink ref="C15" r:id="rId49" display="https://zi-hi.com/sp/uni/00CD" xr:uid="{75E57CE4-3D71-4B27-AA89-418543CF06F1}"/>
    <hyperlink ref="D15" r:id="rId50" display="https://zi-hi.com/sp/uni/00CC" xr:uid="{DA51180C-F276-4467-8522-EC0BD7A4B7A7}"/>
    <hyperlink ref="F15" r:id="rId51" display="https://zi-hi.com/sp/uni/00CE" xr:uid="{DA790CBC-4238-437E-92A6-393360391168}"/>
    <hyperlink ref="G15" r:id="rId52" display="https://zi-hi.com/sp/uni/01CF" xr:uid="{C95643BD-B4ED-445B-83F5-7AAB10CE14D5}"/>
    <hyperlink ref="H15" r:id="rId53" display="https://zi-hi.com/sp/uni/012A" xr:uid="{2BCEA985-4C66-498A-BEB6-35822E06CB24}"/>
    <hyperlink ref="C16" r:id="rId54" display="https://zi-hi.com/sp/uni/00D3" xr:uid="{697A2393-0570-4DDA-AA0E-0A6B3D766B70}"/>
    <hyperlink ref="D16" r:id="rId55" display="https://zi-hi.com/sp/uni/00D2" xr:uid="{4FCF3C22-019E-4986-ADCB-0445C2FEB45A}"/>
    <hyperlink ref="F16" r:id="rId56" display="https://zi-hi.com/sp/uni/00D4" xr:uid="{1BB8A185-779D-4396-966B-0390FBCA164C}"/>
    <hyperlink ref="G16" r:id="rId57" display="https://zi-hi.com/sp/uni/01D1" xr:uid="{8F67BA7F-DC79-448D-881D-3FF1D36AF67B}"/>
    <hyperlink ref="H16" r:id="rId58" display="https://zi-hi.com/sp/uni/014C" xr:uid="{7C12A4E2-4282-4887-83A4-8277DBE9278E}"/>
    <hyperlink ref="J16" r:id="rId59" display="https://zi-hi.com/sp/uni/0150" xr:uid="{3C7353F2-C0A4-460E-A2B2-E08BA03BF333}"/>
    <hyperlink ref="C17" r:id="rId60" display="https://zi-hi.com/sp/uni/00DA" xr:uid="{166EDA42-ABDF-4187-8176-398BC72C5233}"/>
    <hyperlink ref="D17" r:id="rId61" display="https://zi-hi.com/sp/uni/00D9" xr:uid="{B7F46CEC-6BC7-4A40-A8AC-781AE6CC569E}"/>
    <hyperlink ref="F17" r:id="rId62" display="https://zi-hi.com/sp/uni/00DB" xr:uid="{1BEA4527-0982-455D-A057-880A2DB25837}"/>
    <hyperlink ref="G17" r:id="rId63" display="https://zi-hi.com/sp/uni/01D3" xr:uid="{BF48416B-7A98-4AE6-8F89-4A2B9AB77E0D}"/>
    <hyperlink ref="H17" r:id="rId64" display="https://zi-hi.com/sp/uni/016A" xr:uid="{493F35C5-A241-4B45-83DA-8CF0974D5193}"/>
    <hyperlink ref="J17" r:id="rId65" display="https://zi-hi.com/sp/uni/0170" xr:uid="{07EDCF84-3C66-4935-B333-00F12C38D035}"/>
    <hyperlink ref="C18" r:id="rId66" display="https://zi-hi.com/sp/uni/1E3E" xr:uid="{36A4CD31-4369-4FB2-8037-B9D6E866EC01}"/>
    <hyperlink ref="C19" r:id="rId67" display="https://zi-hi.com/sp/uni/0143" xr:uid="{4F54B04C-F9D0-45B3-97B1-CA656D8399AA}"/>
    <hyperlink ref="D19" r:id="rId68" display="https://zi-hi.com/sp/uni/01F8" xr:uid="{E0516E1F-8151-4498-A1F9-97260F373A32}"/>
    <hyperlink ref="G19" r:id="rId69" display="https://zi-hi.com/sp/uni/0147" xr:uid="{82342D49-D267-4E83-975D-3D4ADBD80DAA}"/>
    <hyperlink ref="B22" r:id="rId70" display="https://zi-hi.com/%E7%99%BD%E8%A9%B1%E5%AD%97" xr:uid="{78CECC24-F433-481F-A8FB-399760AC631E}"/>
    <hyperlink ref="P3" r:id="rId71" display="https://zi-hi.com/sp/uni/0301" xr:uid="{E47A0E05-357D-44D6-BB23-4CDC41BD7DB8}"/>
    <hyperlink ref="P4" r:id="rId72" display="https://zi-hi.com/sp/uni/0300" xr:uid="{F0D09F54-8A7F-47BA-BC87-DD6707A2DE9F}"/>
    <hyperlink ref="P6" r:id="rId73" display="https://zi-hi.com/sp/uni/0302" xr:uid="{80F6250B-9C41-4922-9E61-6680CCEEBDD8}"/>
    <hyperlink ref="P7" r:id="rId74" display="https://zi-hi.com/sp/uni/030C" xr:uid="{113B28A3-D0EC-4451-BEE8-D08F40096D03}"/>
    <hyperlink ref="P8" r:id="rId75" display="https://zi-hi.com/sp/uni/0304" xr:uid="{8EA79A44-5B90-467C-8AF6-87FC3C3F7773}"/>
    <hyperlink ref="P9" r:id="rId76" display="https://zi-hi.com/sp/uni/030D" xr:uid="{4B0433FA-3BF4-49EB-A367-85280B364D57}"/>
    <hyperlink ref="P10" r:id="rId77" display="https://zi-hi.com/sp/uni/030B" xr:uid="{23C739AA-0ED0-41C4-8B78-D8A15DEBD53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B7F8-EC6F-425C-A778-2C680D504D26}">
  <dimension ref="B2:O19"/>
  <sheetViews>
    <sheetView showGridLines="0" zoomScale="90" zoomScaleNormal="90" workbookViewId="0">
      <selection activeCell="I8" sqref="I8"/>
    </sheetView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6.375" style="88" customWidth="1"/>
    <col min="13" max="15" width="12.125" style="88" customWidth="1"/>
  </cols>
  <sheetData>
    <row r="2" spans="2:15" ht="34.5" customHeight="1">
      <c r="B2" s="13" t="s">
        <v>199</v>
      </c>
      <c r="C2" s="14" t="s">
        <v>32</v>
      </c>
      <c r="D2" s="14" t="s">
        <v>31</v>
      </c>
      <c r="E2" s="13" t="s">
        <v>30</v>
      </c>
      <c r="F2" s="13" t="s">
        <v>201</v>
      </c>
      <c r="G2" s="13" t="s">
        <v>202</v>
      </c>
      <c r="H2" s="81" t="s">
        <v>203</v>
      </c>
      <c r="I2" s="82"/>
      <c r="J2" s="14" t="s">
        <v>204</v>
      </c>
      <c r="L2" s="89"/>
    </row>
    <row r="3" spans="2:15" ht="54" customHeight="1">
      <c r="B3" s="47">
        <v>1</v>
      </c>
      <c r="C3" s="44" t="s">
        <v>25</v>
      </c>
      <c r="D3" s="44" t="s">
        <v>24</v>
      </c>
      <c r="E3" s="45">
        <v>44</v>
      </c>
      <c r="F3" s="50" t="s">
        <v>38</v>
      </c>
      <c r="G3" s="43" t="s">
        <v>26</v>
      </c>
      <c r="H3" s="86" t="s">
        <v>45</v>
      </c>
      <c r="I3" s="49" t="str">
        <f xml:space="preserve"> IFERROR( _xlfn.CONCAT("t", "o", _xlfn.UNICHAR(HEX2DEC(RIGHT("U+0304",4))), "ng"), "")</f>
        <v>tōng</v>
      </c>
      <c r="J3" s="86" t="str">
        <f xml:space="preserve"> _xlfn.CONCAT("tong", F3)</f>
        <v>tong;</v>
      </c>
      <c r="L3" s="90" t="s">
        <v>301</v>
      </c>
      <c r="M3" s="39">
        <f xml:space="preserve"> IFERROR( HEX2DEC(RIGHT(L3,4)), "")</f>
        <v>769</v>
      </c>
      <c r="N3" s="39" t="str">
        <f xml:space="preserve"> IFERROR( _xlfn.CONCAT("o", _xlfn.UNICHAR(HEX2DEC(RIGHT(L3,4)))), "")</f>
        <v>ó</v>
      </c>
      <c r="O3" s="39" t="str">
        <f xml:space="preserve"> IFERROR( _xlfn.CONCAT("t", "o", _xlfn.UNICHAR(HEX2DEC(RIGHT(L3,4))), "ng"), "")</f>
        <v>tóng</v>
      </c>
    </row>
    <row r="4" spans="2:15" ht="54" customHeight="1">
      <c r="B4" s="51">
        <v>2</v>
      </c>
      <c r="C4" s="53" t="s">
        <v>14</v>
      </c>
      <c r="D4" s="53" t="s">
        <v>13</v>
      </c>
      <c r="E4" s="52">
        <v>13</v>
      </c>
      <c r="F4" s="54" t="s">
        <v>42</v>
      </c>
      <c r="G4" s="55" t="s">
        <v>15</v>
      </c>
      <c r="H4" s="87" t="s">
        <v>49</v>
      </c>
      <c r="I4" s="56" t="str">
        <f xml:space="preserve"> IFERROR( _xlfn.CONCAT("t", "o", _xlfn.UNICHAR(HEX2DEC(RIGHT("U+0301",4))), "ng"), "")</f>
        <v>tóng</v>
      </c>
      <c r="J4" s="87" t="str">
        <f t="shared" ref="J4:J8" si="0" xml:space="preserve"> _xlfn.CONCAT("tong", F4)</f>
        <v>tong/</v>
      </c>
      <c r="L4" s="90" t="s">
        <v>302</v>
      </c>
      <c r="M4" s="39">
        <f t="shared" ref="L4:M10" si="1" xml:space="preserve"> IFERROR( HEX2DEC(RIGHT(L4,4)), "")</f>
        <v>768</v>
      </c>
      <c r="N4" s="39" t="str">
        <f t="shared" ref="N4:N10" si="2" xml:space="preserve"> IFERROR( _xlfn.CONCAT("o", _xlfn.UNICHAR(HEX2DEC(RIGHT(L4,4)))), "")</f>
        <v>ò</v>
      </c>
      <c r="O4" s="39" t="str">
        <f t="shared" ref="O4:O10" si="3" xml:space="preserve"> IFERROR( _xlfn.CONCAT("t", "o", _xlfn.UNICHAR(HEX2DEC(RIGHT(L4,4))), "ng"), "")</f>
        <v>tòng</v>
      </c>
    </row>
    <row r="5" spans="2:15" ht="54" customHeight="1">
      <c r="B5" s="47">
        <v>3</v>
      </c>
      <c r="C5" s="44" t="s">
        <v>36</v>
      </c>
      <c r="D5" s="44" t="s">
        <v>11</v>
      </c>
      <c r="E5" s="45">
        <v>53</v>
      </c>
      <c r="F5" s="50" t="s">
        <v>41</v>
      </c>
      <c r="G5" s="43" t="s">
        <v>9</v>
      </c>
      <c r="H5" s="86" t="s">
        <v>48</v>
      </c>
      <c r="I5" s="49" t="str">
        <f xml:space="preserve"> IFERROR( _xlfn.CONCAT("t", "o", _xlfn.UNICHAR(HEX2DEC(RIGHT("U+030C",4))), "ng"), "")</f>
        <v>tǒng</v>
      </c>
      <c r="J5" s="86" t="str">
        <f t="shared" si="0"/>
        <v>tong\</v>
      </c>
      <c r="L5" s="91"/>
      <c r="M5"/>
      <c r="N5"/>
      <c r="O5"/>
    </row>
    <row r="6" spans="2:15" ht="54" customHeight="1">
      <c r="B6" s="51">
        <v>4</v>
      </c>
      <c r="C6" s="53" t="s">
        <v>295</v>
      </c>
      <c r="D6" s="92"/>
      <c r="E6" s="93"/>
      <c r="F6" s="94"/>
      <c r="G6" s="95"/>
      <c r="H6" s="96"/>
      <c r="I6" s="97"/>
      <c r="J6" s="96"/>
      <c r="L6" s="90" t="s">
        <v>120</v>
      </c>
      <c r="M6" s="39">
        <f t="shared" si="1"/>
        <v>770</v>
      </c>
      <c r="N6" s="39" t="str">
        <f t="shared" si="2"/>
        <v>ô</v>
      </c>
      <c r="O6" s="39" t="str">
        <f t="shared" si="3"/>
        <v>tông</v>
      </c>
    </row>
    <row r="7" spans="2:15" ht="54" customHeight="1">
      <c r="B7" s="47">
        <v>5</v>
      </c>
      <c r="C7" s="44" t="s">
        <v>18</v>
      </c>
      <c r="D7" s="44" t="s">
        <v>17</v>
      </c>
      <c r="E7" s="45">
        <v>21</v>
      </c>
      <c r="F7" s="50" t="s">
        <v>40</v>
      </c>
      <c r="G7" s="43" t="s">
        <v>19</v>
      </c>
      <c r="H7" s="86" t="s">
        <v>50</v>
      </c>
      <c r="I7" s="49" t="str">
        <f xml:space="preserve"> IFERROR( _xlfn.CONCAT("t", "o", _xlfn.UNICHAR(HEX2DEC(RIGHT("U+0300",4))), "ng"), "")</f>
        <v>tòng</v>
      </c>
      <c r="J7" s="86" t="str">
        <f t="shared" si="0"/>
        <v>tong_</v>
      </c>
      <c r="L7" s="90" t="s">
        <v>177</v>
      </c>
      <c r="M7" s="39">
        <f t="shared" si="1"/>
        <v>780</v>
      </c>
      <c r="N7" s="39" t="str">
        <f t="shared" si="2"/>
        <v>ǒ</v>
      </c>
      <c r="O7" s="39" t="str">
        <f t="shared" si="3"/>
        <v>tǒng</v>
      </c>
    </row>
    <row r="8" spans="2:15" ht="54" customHeight="1">
      <c r="B8" s="51">
        <v>6</v>
      </c>
      <c r="C8" s="53" t="s">
        <v>22</v>
      </c>
      <c r="D8" s="53" t="s">
        <v>21</v>
      </c>
      <c r="E8" s="52">
        <v>22</v>
      </c>
      <c r="F8" s="54" t="s">
        <v>39</v>
      </c>
      <c r="G8" s="55" t="s">
        <v>23</v>
      </c>
      <c r="H8" s="87" t="s">
        <v>205</v>
      </c>
      <c r="I8" s="56" t="str">
        <f xml:space="preserve"> IFERROR( _xlfn.CONCAT("t", "o", _xlfn.UNICHAR(HEX2DEC(RIGHT("U+0302",4))), "ng"), "")</f>
        <v>tông</v>
      </c>
      <c r="J8" s="87" t="str">
        <f t="shared" si="0"/>
        <v>tong-</v>
      </c>
      <c r="L8" s="90" t="s">
        <v>178</v>
      </c>
      <c r="M8" s="39">
        <f t="shared" si="1"/>
        <v>772</v>
      </c>
      <c r="N8" s="39" t="str">
        <f t="shared" si="2"/>
        <v>ō</v>
      </c>
      <c r="O8" s="39" t="str">
        <f xml:space="preserve"> IFERROR( _xlfn.CONCAT("t", "o", _xlfn.UNICHAR(HEX2DEC(RIGHT("U+0304",4))), "ng"), "")</f>
        <v>tōng</v>
      </c>
    </row>
    <row r="9" spans="2:15" ht="54" customHeight="1">
      <c r="B9" s="47">
        <v>7</v>
      </c>
      <c r="C9" s="44" t="s">
        <v>6</v>
      </c>
      <c r="D9" s="44" t="s">
        <v>5</v>
      </c>
      <c r="E9" s="45">
        <v>32</v>
      </c>
      <c r="F9" s="50" t="s">
        <v>43</v>
      </c>
      <c r="G9" s="43" t="s">
        <v>7</v>
      </c>
      <c r="H9" s="86" t="s">
        <v>300</v>
      </c>
      <c r="I9" s="49" t="str">
        <f xml:space="preserve"> IFERROR( _xlfn.CONCAT("t", "o", _xlfn.UNICHAR(HEX2DEC(RIGHT("U+0304",4))), "k"), "")</f>
        <v>tōk</v>
      </c>
      <c r="J9" s="86" t="str">
        <f xml:space="preserve"> _xlfn.CONCAT("tok", F9)</f>
        <v>tok[</v>
      </c>
      <c r="L9" s="90" t="s">
        <v>121</v>
      </c>
      <c r="M9" s="39">
        <f t="shared" si="1"/>
        <v>781</v>
      </c>
      <c r="N9" s="39" t="str">
        <f t="shared" si="2"/>
        <v>o̍</v>
      </c>
      <c r="O9" s="39" t="str">
        <f t="shared" si="3"/>
        <v>to̍ng</v>
      </c>
    </row>
    <row r="10" spans="2:15" ht="54" customHeight="1">
      <c r="B10" s="51">
        <v>8</v>
      </c>
      <c r="C10" s="53" t="s">
        <v>2</v>
      </c>
      <c r="D10" s="53" t="s">
        <v>1</v>
      </c>
      <c r="E10" s="52">
        <v>121</v>
      </c>
      <c r="F10" s="54" t="s">
        <v>44</v>
      </c>
      <c r="G10" s="55" t="s">
        <v>3</v>
      </c>
      <c r="H10" s="87" t="s">
        <v>35</v>
      </c>
      <c r="I10" s="56" t="str">
        <f xml:space="preserve"> IFERROR( _xlfn.CONCAT("t", "o", _xlfn.UNICHAR(HEX2DEC(RIGHT("U+0301",4))), "k"), "")</f>
        <v>tók</v>
      </c>
      <c r="J10" s="87" t="str">
        <f xml:space="preserve"> _xlfn.CONCAT("tok", F10)</f>
        <v>tok]</v>
      </c>
      <c r="L10" s="90" t="s">
        <v>122</v>
      </c>
      <c r="M10" s="39">
        <f t="shared" si="1"/>
        <v>779</v>
      </c>
      <c r="N10" s="39" t="str">
        <f t="shared" si="2"/>
        <v>ő</v>
      </c>
      <c r="O10" s="39" t="str">
        <f t="shared" si="3"/>
        <v>tőng</v>
      </c>
    </row>
    <row r="11" spans="2:15" ht="54" customHeight="1">
      <c r="B11" s="47">
        <v>0</v>
      </c>
      <c r="C11" s="44" t="s">
        <v>207</v>
      </c>
      <c r="D11" s="44" t="s">
        <v>208</v>
      </c>
      <c r="E11" s="45">
        <v>20</v>
      </c>
      <c r="F11" s="50">
        <v>7</v>
      </c>
      <c r="G11" s="43" t="s">
        <v>209</v>
      </c>
      <c r="H11" s="86" t="s">
        <v>211</v>
      </c>
      <c r="I11" s="49" t="str">
        <f xml:space="preserve"> IFERROR( _xlfn.CONCAT("ah", "⁰"), "")</f>
        <v>ah⁰</v>
      </c>
      <c r="J11" s="86" t="str">
        <f xml:space="preserve"> _xlfn.CONCAT("ah", F11)</f>
        <v>ah7</v>
      </c>
      <c r="L11" s="89"/>
    </row>
    <row r="18" spans="2:10" outlineLevel="1"/>
    <row r="19" spans="2:10" ht="57.75">
      <c r="B19" s="9">
        <v>4</v>
      </c>
      <c r="C19" s="11" t="s">
        <v>8</v>
      </c>
      <c r="D19" s="11"/>
      <c r="E19" s="10">
        <v>53</v>
      </c>
      <c r="F19" s="10"/>
      <c r="G19" s="15" t="s">
        <v>9</v>
      </c>
      <c r="H19" s="15"/>
      <c r="I19" s="11" t="str">
        <f xml:space="preserve"> "dong" &amp; J19</f>
        <v>dong6</v>
      </c>
      <c r="J19" s="10">
        <v>6</v>
      </c>
    </row>
  </sheetData>
  <mergeCells count="1">
    <mergeCell ref="H2:I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02ED-9A65-4E94-A488-809467BC273C}">
  <dimension ref="B2:U11"/>
  <sheetViews>
    <sheetView showGridLines="0" workbookViewId="0">
      <selection activeCell="M18" sqref="M18"/>
    </sheetView>
  </sheetViews>
  <sheetFormatPr defaultRowHeight="16.5"/>
  <cols>
    <col min="1" max="1" width="5.5" customWidth="1"/>
    <col min="2" max="2" width="13.5" customWidth="1"/>
    <col min="3" max="4" width="16.25" customWidth="1"/>
    <col min="5" max="5" width="11.5" customWidth="1"/>
    <col min="6" max="6" width="12.5" bestFit="1" customWidth="1"/>
    <col min="7" max="10" width="18" customWidth="1"/>
    <col min="19" max="19" width="27" customWidth="1"/>
  </cols>
  <sheetData>
    <row r="2" spans="2:21" ht="25.5">
      <c r="B2" s="14" t="s">
        <v>285</v>
      </c>
      <c r="C2" s="14" t="s">
        <v>222</v>
      </c>
      <c r="D2" s="14" t="s">
        <v>286</v>
      </c>
      <c r="E2" s="14" t="s">
        <v>30</v>
      </c>
      <c r="F2" s="13" t="s">
        <v>201</v>
      </c>
      <c r="G2" s="13" t="s">
        <v>202</v>
      </c>
      <c r="H2" s="13" t="s">
        <v>282</v>
      </c>
      <c r="I2" s="14" t="s">
        <v>259</v>
      </c>
      <c r="J2" s="14" t="s">
        <v>204</v>
      </c>
    </row>
    <row r="3" spans="2:21" ht="45">
      <c r="B3" s="12">
        <v>1</v>
      </c>
      <c r="C3" s="67" t="s">
        <v>273</v>
      </c>
      <c r="D3" s="67" t="s">
        <v>287</v>
      </c>
      <c r="E3" s="68">
        <v>44</v>
      </c>
      <c r="F3" s="68" t="s">
        <v>283</v>
      </c>
      <c r="G3" s="58" t="s">
        <v>26</v>
      </c>
      <c r="H3" s="62" t="s">
        <v>45</v>
      </c>
      <c r="I3" s="63" t="s">
        <v>214</v>
      </c>
      <c r="J3" s="63" t="str">
        <f xml:space="preserve"> _xlfn.CONCAT(I3, F3)</f>
        <v>ㄊㆲ:</v>
      </c>
      <c r="L3" s="67" t="str">
        <f xml:space="preserve"> _xlfn.CONCAT("ㄚ",_xlfn.UNICHAR(HEX2DEC(RIGHT("U+0304",4))))</f>
        <v>ㄚ̄</v>
      </c>
      <c r="N3" s="35" t="s">
        <v>185</v>
      </c>
      <c r="O3" s="39">
        <f xml:space="preserve"> IFERROR( HEX2DEC(RIGHT(N3,4)), "")</f>
        <v>769</v>
      </c>
      <c r="P3" s="39" t="str">
        <f xml:space="preserve"> IFERROR( _xlfn.CONCAT("o", _xlfn.UNICHAR(HEX2DEC(RIGHT(N3,4)))), "")</f>
        <v>ó</v>
      </c>
      <c r="Q3" s="39" t="str">
        <f xml:space="preserve"> IFERROR( _xlfn.CONCAT("t", "o", _xlfn.UNICHAR(HEX2DEC(RIGHT(N3,4))), "ng"), "")</f>
        <v>tóng</v>
      </c>
      <c r="S3" s="67" t="str">
        <f xml:space="preserve"> _xlfn.CONCAT( LEFT(C3,2), " ", L3,)</f>
        <v>陰平 ㄚ̄</v>
      </c>
      <c r="U3" t="s">
        <v>264</v>
      </c>
    </row>
    <row r="4" spans="2:21" ht="45">
      <c r="B4" s="4">
        <v>2</v>
      </c>
      <c r="C4" s="70" t="s">
        <v>274</v>
      </c>
      <c r="D4" s="70" t="s">
        <v>288</v>
      </c>
      <c r="E4" s="71">
        <v>13</v>
      </c>
      <c r="F4" s="71">
        <v>6</v>
      </c>
      <c r="G4" s="59" t="s">
        <v>15</v>
      </c>
      <c r="H4" s="64" t="s">
        <v>296</v>
      </c>
      <c r="I4" s="65" t="s">
        <v>218</v>
      </c>
      <c r="J4" s="65" t="str">
        <f xml:space="preserve"> _xlfn.CONCAT( LEFT( I4, LEN(I4)-1), F4)</f>
        <v>ㄊㆲ6</v>
      </c>
      <c r="L4" s="67" t="str">
        <f xml:space="preserve"> _xlfn.CONCAT("ㄚ",_xlfn.UNICHAR(HEX2DEC(RIGHT("U+0301",4))))</f>
        <v>ㄚ́</v>
      </c>
      <c r="N4" s="35" t="s">
        <v>186</v>
      </c>
      <c r="O4" s="39">
        <f t="shared" ref="O4:O10" si="0" xml:space="preserve"> IFERROR( HEX2DEC(RIGHT(N4,4)), "")</f>
        <v>768</v>
      </c>
      <c r="P4" s="39" t="str">
        <f t="shared" ref="P4:P10" si="1" xml:space="preserve"> IFERROR( _xlfn.CONCAT("o", _xlfn.UNICHAR(HEX2DEC(RIGHT(N4,4)))), "")</f>
        <v>ò</v>
      </c>
      <c r="Q4" s="39" t="str">
        <f t="shared" ref="Q4:Q10" si="2" xml:space="preserve"> IFERROR( _xlfn.CONCAT("t", "o", _xlfn.UNICHAR(HEX2DEC(RIGHT(N4,4))), "ng"), "")</f>
        <v>tòng</v>
      </c>
      <c r="S4" s="67" t="str">
        <f t="shared" ref="S4:S11" si="3" xml:space="preserve"> _xlfn.CONCAT( LEFT(C4,2), " ", L4,)</f>
        <v>陽平 ㄚ́</v>
      </c>
      <c r="U4" t="s">
        <v>265</v>
      </c>
    </row>
    <row r="5" spans="2:21" ht="45">
      <c r="B5" s="12">
        <v>3</v>
      </c>
      <c r="C5" s="67" t="s">
        <v>275</v>
      </c>
      <c r="D5" s="67" t="s">
        <v>289</v>
      </c>
      <c r="E5" s="68">
        <v>53</v>
      </c>
      <c r="F5" s="68">
        <v>4</v>
      </c>
      <c r="G5" s="58" t="s">
        <v>226</v>
      </c>
      <c r="H5" s="62" t="s">
        <v>297</v>
      </c>
      <c r="I5" s="66" t="s">
        <v>215</v>
      </c>
      <c r="J5" s="66" t="str">
        <f xml:space="preserve"> _xlfn.CONCAT( LEFT( I5, LEN(I5)-1), F5)</f>
        <v>ㄊㆲ4</v>
      </c>
      <c r="L5" s="67" t="str">
        <f xml:space="preserve"> _xlfn.CONCAT("ㄚ",_xlfn.UNICHAR(HEX2DEC(RIGHT("U+030C",4))))</f>
        <v>ㄚ̌</v>
      </c>
      <c r="N5" s="36" t="s">
        <v>121</v>
      </c>
      <c r="O5" s="39">
        <f t="shared" si="0"/>
        <v>781</v>
      </c>
      <c r="P5" s="39" t="str">
        <f t="shared" si="1"/>
        <v>o̍</v>
      </c>
      <c r="Q5" s="39" t="str">
        <f t="shared" si="2"/>
        <v>to̍ng</v>
      </c>
      <c r="S5" s="67" t="str">
        <f t="shared" si="3"/>
        <v>陰上 ㄚ̌</v>
      </c>
      <c r="U5" t="s">
        <v>266</v>
      </c>
    </row>
    <row r="6" spans="2:21" ht="42">
      <c r="B6" s="4">
        <v>4</v>
      </c>
      <c r="C6" s="70" t="s">
        <v>276</v>
      </c>
      <c r="D6" s="75"/>
      <c r="E6" s="75"/>
      <c r="F6" s="75"/>
      <c r="G6" s="75"/>
      <c r="H6" s="75"/>
      <c r="I6" s="75"/>
      <c r="J6" s="75"/>
      <c r="L6" s="67" t="str">
        <f t="shared" ref="L6" si="4" xml:space="preserve"> _xlfn.CONCAT("ㄚ",_xlfn.UNICHAR(HEX2DEC(RIGHT("U+0304",4))))</f>
        <v>ㄚ̄</v>
      </c>
      <c r="N6" s="35" t="s">
        <v>120</v>
      </c>
      <c r="O6" s="39">
        <f t="shared" si="0"/>
        <v>770</v>
      </c>
      <c r="P6" s="39" t="str">
        <f t="shared" si="1"/>
        <v>ô</v>
      </c>
      <c r="Q6" s="39" t="str">
        <f t="shared" si="2"/>
        <v>tông</v>
      </c>
      <c r="S6" s="67" t="str">
        <f t="shared" si="3"/>
        <v>陽上 ㄚ̄</v>
      </c>
      <c r="U6" t="s">
        <v>267</v>
      </c>
    </row>
    <row r="7" spans="2:21" ht="45">
      <c r="B7" s="12">
        <v>5</v>
      </c>
      <c r="C7" s="67" t="s">
        <v>277</v>
      </c>
      <c r="D7" s="67" t="s">
        <v>290</v>
      </c>
      <c r="E7" s="68">
        <v>21</v>
      </c>
      <c r="F7" s="68">
        <v>3</v>
      </c>
      <c r="G7" s="61" t="s">
        <v>19</v>
      </c>
      <c r="H7" s="62" t="s">
        <v>298</v>
      </c>
      <c r="I7" s="66" t="s">
        <v>216</v>
      </c>
      <c r="J7" s="66" t="str">
        <f t="shared" ref="J7:J10" si="5" xml:space="preserve"> _xlfn.CONCAT( LEFT( I7, LEN(I7)-1), F7)</f>
        <v>ㄊㆲ3</v>
      </c>
      <c r="L7" s="67" t="str">
        <f xml:space="preserve"> _xlfn.CONCAT("ㄚ",_xlfn.UNICHAR(HEX2DEC(RIGHT("U+0300",4))))</f>
        <v>ㄚ̀</v>
      </c>
      <c r="N7" s="35" t="s">
        <v>177</v>
      </c>
      <c r="O7" s="39">
        <f t="shared" si="0"/>
        <v>780</v>
      </c>
      <c r="P7" s="39" t="str">
        <f t="shared" si="1"/>
        <v>ǒ</v>
      </c>
      <c r="Q7" s="39" t="str">
        <f t="shared" si="2"/>
        <v>tǒng</v>
      </c>
      <c r="S7" s="67" t="str">
        <f t="shared" si="3"/>
        <v>陰去 ㄚ̀</v>
      </c>
      <c r="U7" t="s">
        <v>268</v>
      </c>
    </row>
    <row r="8" spans="2:21" ht="45">
      <c r="B8" s="4">
        <v>6</v>
      </c>
      <c r="C8" s="70" t="s">
        <v>278</v>
      </c>
      <c r="D8" s="70" t="s">
        <v>291</v>
      </c>
      <c r="E8" s="71">
        <v>22</v>
      </c>
      <c r="F8" s="71">
        <v>5</v>
      </c>
      <c r="G8" s="60" t="s">
        <v>231</v>
      </c>
      <c r="H8" s="64" t="s">
        <v>299</v>
      </c>
      <c r="I8" s="65" t="s">
        <v>219</v>
      </c>
      <c r="J8" s="65" t="str">
        <f t="shared" si="5"/>
        <v>ㄊㆲ5</v>
      </c>
      <c r="L8" s="67" t="str">
        <f xml:space="preserve"> _xlfn.CONCAT("ㄚ",_xlfn.UNICHAR(HEX2DEC(RIGHT("U+0302",4))))</f>
        <v>ㄚ̂</v>
      </c>
      <c r="N8" s="35" t="s">
        <v>178</v>
      </c>
      <c r="O8" s="39">
        <f t="shared" si="0"/>
        <v>772</v>
      </c>
      <c r="P8" s="39" t="str">
        <f t="shared" si="1"/>
        <v>ō</v>
      </c>
      <c r="Q8" s="39" t="str">
        <f xml:space="preserve"> IFERROR( _xlfn.CONCAT("t", "o", _xlfn.UNICHAR(HEX2DEC(RIGHT("U+0304",4))), "ng"), "")</f>
        <v>tōng</v>
      </c>
      <c r="S8" s="67" t="str">
        <f t="shared" si="3"/>
        <v>陽去 ㄚ̂</v>
      </c>
      <c r="U8" t="s">
        <v>269</v>
      </c>
    </row>
    <row r="9" spans="2:21" ht="45">
      <c r="B9" s="12">
        <v>7</v>
      </c>
      <c r="C9" s="67" t="s">
        <v>279</v>
      </c>
      <c r="D9" s="67" t="s">
        <v>292</v>
      </c>
      <c r="E9" s="68">
        <v>32</v>
      </c>
      <c r="F9" s="68" t="s">
        <v>43</v>
      </c>
      <c r="G9" s="61" t="s">
        <v>7</v>
      </c>
      <c r="H9" s="62" t="s">
        <v>300</v>
      </c>
      <c r="I9" s="66" t="s">
        <v>261</v>
      </c>
      <c r="J9" s="66" t="str">
        <f xml:space="preserve"> _xlfn.CONCAT( LEFT( I9, LEN(I9)), F9)</f>
        <v>ㄊㆦㆻ[</v>
      </c>
      <c r="L9" s="67" t="str">
        <f xml:space="preserve"> _xlfn.CONCAT("ㄚ", "ㆷ", _xlfn.UNICHAR(HEX2DEC(RIGHT("U+0304",4))))</f>
        <v>ㄚㆷ̄</v>
      </c>
      <c r="N9" s="35" t="s">
        <v>210</v>
      </c>
      <c r="O9" s="39">
        <f t="shared" si="0"/>
        <v>781</v>
      </c>
      <c r="P9" s="39" t="str">
        <f t="shared" si="1"/>
        <v>o̍</v>
      </c>
      <c r="Q9" s="39" t="str">
        <f t="shared" si="2"/>
        <v>to̍ng</v>
      </c>
      <c r="S9" s="67" t="str">
        <f t="shared" si="3"/>
        <v>陰入 ㄚㆷ̄</v>
      </c>
      <c r="U9" t="s">
        <v>270</v>
      </c>
    </row>
    <row r="10" spans="2:21" ht="45">
      <c r="B10" s="4">
        <v>8</v>
      </c>
      <c r="C10" s="70" t="s">
        <v>280</v>
      </c>
      <c r="D10" s="70" t="s">
        <v>293</v>
      </c>
      <c r="E10" s="71">
        <v>121</v>
      </c>
      <c r="F10" s="71" t="s">
        <v>44</v>
      </c>
      <c r="G10" s="60" t="s">
        <v>232</v>
      </c>
      <c r="H10" s="64" t="s">
        <v>220</v>
      </c>
      <c r="I10" s="65" t="s">
        <v>262</v>
      </c>
      <c r="J10" s="65" t="str">
        <f t="shared" si="5"/>
        <v>ㄊㆦㆻ]</v>
      </c>
      <c r="L10" s="67" t="str">
        <f xml:space="preserve"> _xlfn.CONCAT("ㄚ", "ㆷ", _xlfn.UNICHAR(HEX2DEC(RIGHT("U+0301",4))))</f>
        <v>ㄚㆷ́</v>
      </c>
      <c r="N10" s="35" t="s">
        <v>122</v>
      </c>
      <c r="O10" s="39">
        <f t="shared" si="0"/>
        <v>779</v>
      </c>
      <c r="P10" s="39" t="str">
        <f t="shared" si="1"/>
        <v>ő</v>
      </c>
      <c r="Q10" s="39" t="str">
        <f t="shared" si="2"/>
        <v>tőng</v>
      </c>
      <c r="S10" s="67" t="str">
        <f t="shared" si="3"/>
        <v>陽入 ㄚㆷ́</v>
      </c>
      <c r="U10" t="s">
        <v>271</v>
      </c>
    </row>
    <row r="11" spans="2:21" ht="45">
      <c r="B11" s="12">
        <v>0</v>
      </c>
      <c r="C11" s="67" t="s">
        <v>281</v>
      </c>
      <c r="D11" s="67" t="s">
        <v>284</v>
      </c>
      <c r="E11" s="68">
        <v>20</v>
      </c>
      <c r="F11" s="68">
        <v>7</v>
      </c>
      <c r="G11" s="58" t="s">
        <v>209</v>
      </c>
      <c r="H11" s="62" t="s">
        <v>211</v>
      </c>
      <c r="I11" s="66" t="s">
        <v>260</v>
      </c>
      <c r="J11" s="66" t="str">
        <f t="shared" ref="J11" si="6" xml:space="preserve"> _xlfn.CONCAT( LEFT( I11, LEN(I11)-1), F11)</f>
        <v>ㄚㆷ7</v>
      </c>
      <c r="L11" s="67" t="str">
        <f xml:space="preserve"> _xlfn.CONCAT("ㄚ", "ㆷ", _xlfn.UNICHAR(HEX2DEC(RIGHT("U+02D9",4))))</f>
        <v>ㄚㆷ˙</v>
      </c>
      <c r="S11" s="67" t="str">
        <f t="shared" si="3"/>
        <v>輕聲 ㄚㆷ˙</v>
      </c>
      <c r="U11" t="s">
        <v>272</v>
      </c>
    </row>
  </sheetData>
  <phoneticPr fontId="1" type="noConversion"/>
  <hyperlinks>
    <hyperlink ref="N3" r:id="rId1" display="https://zi-hi.com/sp/uni/0301" xr:uid="{09B4369C-09F5-493D-97DE-F2132117D92D}"/>
    <hyperlink ref="N4" r:id="rId2" display="https://zi-hi.com/sp/uni/0300" xr:uid="{C7674C4A-D199-49E9-89AC-4C0FC2F02CEE}"/>
    <hyperlink ref="N6" r:id="rId3" display="https://zi-hi.com/sp/uni/0302" xr:uid="{1FAAC11D-0453-47CE-80B4-CC8B31B5FD55}"/>
    <hyperlink ref="N7" r:id="rId4" display="https://zi-hi.com/sp/uni/030C" xr:uid="{6AFE2CB8-2C9D-44DF-8BC8-63ABD97F88D6}"/>
    <hyperlink ref="N8" r:id="rId5" display="https://zi-hi.com/sp/uni/0304" xr:uid="{65EAC2D0-F4FC-426B-B86A-777DA20CFD70}"/>
    <hyperlink ref="N9" r:id="rId6" display="https://zi-hi.com/sp/uni/030D" xr:uid="{390B647D-29B8-49F1-8F25-9860E0CA47F9}"/>
    <hyperlink ref="N10" r:id="rId7" display="https://zi-hi.com/sp/uni/030B" xr:uid="{B8093843-7A9F-42E9-B983-E082C50B2D1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2C4FC-9A57-4FFC-AD4B-7C470E5E34C6}">
  <dimension ref="B2:O19"/>
  <sheetViews>
    <sheetView showGridLines="0" tabSelected="1" zoomScale="90" zoomScaleNormal="90" workbookViewId="0">
      <selection activeCell="F16" sqref="F16"/>
    </sheetView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6.375" style="88" customWidth="1"/>
    <col min="13" max="15" width="12.125" style="88" customWidth="1"/>
  </cols>
  <sheetData>
    <row r="2" spans="2:15" ht="34.5" customHeight="1">
      <c r="B2" s="13" t="s">
        <v>199</v>
      </c>
      <c r="C2" s="14" t="s">
        <v>32</v>
      </c>
      <c r="D2" s="14" t="s">
        <v>31</v>
      </c>
      <c r="E2" s="13" t="s">
        <v>30</v>
      </c>
      <c r="F2" s="13" t="s">
        <v>201</v>
      </c>
      <c r="G2" s="13" t="s">
        <v>202</v>
      </c>
      <c r="H2" s="81" t="s">
        <v>203</v>
      </c>
      <c r="I2" s="82"/>
      <c r="J2" s="14" t="s">
        <v>204</v>
      </c>
      <c r="L2" s="89"/>
    </row>
    <row r="3" spans="2:15" ht="54" customHeight="1">
      <c r="B3" s="47">
        <v>1</v>
      </c>
      <c r="C3" s="44" t="s">
        <v>25</v>
      </c>
      <c r="D3" s="44" t="s">
        <v>24</v>
      </c>
      <c r="E3" s="45">
        <v>44</v>
      </c>
      <c r="F3" s="50" t="s">
        <v>38</v>
      </c>
      <c r="G3" s="43" t="s">
        <v>303</v>
      </c>
      <c r="H3" s="86" t="s">
        <v>45</v>
      </c>
      <c r="I3" s="49" t="str">
        <f xml:space="preserve"> IFERROR( _xlfn.CONCAT("t", "o", _xlfn.UNICHAR(HEX2DEC(RIGHT("U+0304",4))), "ng"), "")</f>
        <v>tōng</v>
      </c>
      <c r="J3" s="86" t="str">
        <f xml:space="preserve"> _xlfn.CONCAT("tong", F3)</f>
        <v>tong;</v>
      </c>
      <c r="L3" s="90" t="s">
        <v>301</v>
      </c>
      <c r="M3" s="39">
        <f xml:space="preserve"> IFERROR( HEX2DEC(RIGHT(L3,4)), "")</f>
        <v>769</v>
      </c>
      <c r="N3" s="39" t="str">
        <f xml:space="preserve"> IFERROR( _xlfn.CONCAT("o", _xlfn.UNICHAR(HEX2DEC(RIGHT(L3,4)))), "")</f>
        <v>ó</v>
      </c>
      <c r="O3" s="39" t="str">
        <f xml:space="preserve"> IFERROR( _xlfn.CONCAT("t", "o", _xlfn.UNICHAR(HEX2DEC(RIGHT(L3,4))), "ng"), "")</f>
        <v>tóng</v>
      </c>
    </row>
    <row r="4" spans="2:15" ht="54" customHeight="1">
      <c r="B4" s="51">
        <v>2</v>
      </c>
      <c r="C4" s="53" t="s">
        <v>14</v>
      </c>
      <c r="D4" s="53" t="s">
        <v>13</v>
      </c>
      <c r="E4" s="52">
        <v>24</v>
      </c>
      <c r="F4" s="54" t="s">
        <v>42</v>
      </c>
      <c r="G4" s="55" t="s">
        <v>305</v>
      </c>
      <c r="H4" s="87" t="s">
        <v>49</v>
      </c>
      <c r="I4" s="56" t="str">
        <f xml:space="preserve"> IFERROR( _xlfn.CONCAT("t", "o", _xlfn.UNICHAR(HEX2DEC(RIGHT("U+0301",4))), "ng"), "")</f>
        <v>tóng</v>
      </c>
      <c r="J4" s="87" t="str">
        <f t="shared" ref="J4:J8" si="0" xml:space="preserve"> _xlfn.CONCAT("tong", F4)</f>
        <v>tong/</v>
      </c>
      <c r="L4" s="90" t="s">
        <v>302</v>
      </c>
      <c r="M4" s="39">
        <f t="shared" ref="M4:M10" si="1" xml:space="preserve"> IFERROR( HEX2DEC(RIGHT(L4,4)), "")</f>
        <v>768</v>
      </c>
      <c r="N4" s="39" t="str">
        <f t="shared" ref="N4:N10" si="2" xml:space="preserve"> IFERROR( _xlfn.CONCAT("o", _xlfn.UNICHAR(HEX2DEC(RIGHT(L4,4)))), "")</f>
        <v>ò</v>
      </c>
      <c r="O4" s="39" t="str">
        <f t="shared" ref="O4:O10" si="3" xml:space="preserve"> IFERROR( _xlfn.CONCAT("t", "o", _xlfn.UNICHAR(HEX2DEC(RIGHT(L4,4))), "ng"), "")</f>
        <v>tòng</v>
      </c>
    </row>
    <row r="5" spans="2:15" ht="54" customHeight="1">
      <c r="B5" s="47">
        <v>3</v>
      </c>
      <c r="C5" s="44" t="s">
        <v>36</v>
      </c>
      <c r="D5" s="44" t="s">
        <v>11</v>
      </c>
      <c r="E5" s="45">
        <v>53</v>
      </c>
      <c r="F5" s="50" t="s">
        <v>41</v>
      </c>
      <c r="G5" s="43" t="s">
        <v>307</v>
      </c>
      <c r="H5" s="86" t="s">
        <v>48</v>
      </c>
      <c r="I5" s="49" t="str">
        <f xml:space="preserve"> IFERROR( _xlfn.CONCAT("t", "o", _xlfn.UNICHAR(HEX2DEC(RIGHT("U+030C",4))), "ng"), "")</f>
        <v>tǒng</v>
      </c>
      <c r="J5" s="86" t="str">
        <f t="shared" si="0"/>
        <v>tong\</v>
      </c>
      <c r="L5" s="91"/>
      <c r="M5"/>
      <c r="N5"/>
      <c r="O5"/>
    </row>
    <row r="6" spans="2:15" ht="54" customHeight="1">
      <c r="B6" s="51">
        <v>4</v>
      </c>
      <c r="C6" s="53" t="s">
        <v>295</v>
      </c>
      <c r="D6" s="92"/>
      <c r="E6" s="93"/>
      <c r="F6" s="94"/>
      <c r="G6" s="95"/>
      <c r="H6" s="96"/>
      <c r="I6" s="97"/>
      <c r="J6" s="96"/>
      <c r="L6" s="90" t="s">
        <v>120</v>
      </c>
      <c r="M6" s="39">
        <f t="shared" si="1"/>
        <v>770</v>
      </c>
      <c r="N6" s="39" t="str">
        <f t="shared" si="2"/>
        <v>ô</v>
      </c>
      <c r="O6" s="39" t="str">
        <f t="shared" si="3"/>
        <v>tông</v>
      </c>
    </row>
    <row r="7" spans="2:15" ht="54" customHeight="1">
      <c r="B7" s="47">
        <v>5</v>
      </c>
      <c r="C7" s="44" t="s">
        <v>18</v>
      </c>
      <c r="D7" s="44" t="s">
        <v>17</v>
      </c>
      <c r="E7" s="45">
        <v>21</v>
      </c>
      <c r="F7" s="50" t="s">
        <v>40</v>
      </c>
      <c r="G7" s="43" t="s">
        <v>309</v>
      </c>
      <c r="H7" s="86" t="s">
        <v>50</v>
      </c>
      <c r="I7" s="49" t="str">
        <f xml:space="preserve"> IFERROR( _xlfn.CONCAT("t", "o", _xlfn.UNICHAR(HEX2DEC(RIGHT("U+0300",4))), "ng"), "")</f>
        <v>tòng</v>
      </c>
      <c r="J7" s="86" t="str">
        <f t="shared" si="0"/>
        <v>tong_</v>
      </c>
      <c r="L7" s="90" t="s">
        <v>177</v>
      </c>
      <c r="M7" s="39">
        <f t="shared" si="1"/>
        <v>780</v>
      </c>
      <c r="N7" s="39" t="str">
        <f t="shared" si="2"/>
        <v>ǒ</v>
      </c>
      <c r="O7" s="39" t="str">
        <f t="shared" si="3"/>
        <v>tǒng</v>
      </c>
    </row>
    <row r="8" spans="2:15" ht="54" customHeight="1">
      <c r="B8" s="51">
        <v>6</v>
      </c>
      <c r="C8" s="53" t="s">
        <v>22</v>
      </c>
      <c r="D8" s="53" t="s">
        <v>21</v>
      </c>
      <c r="E8" s="52">
        <v>22</v>
      </c>
      <c r="F8" s="54" t="s">
        <v>39</v>
      </c>
      <c r="G8" s="55" t="s">
        <v>305</v>
      </c>
      <c r="H8" s="87" t="s">
        <v>205</v>
      </c>
      <c r="I8" s="56" t="str">
        <f xml:space="preserve"> IFERROR( _xlfn.CONCAT("t", "o", _xlfn.UNICHAR(HEX2DEC(RIGHT("U+0302",4))), "ng"), "")</f>
        <v>tông</v>
      </c>
      <c r="J8" s="87" t="str">
        <f t="shared" si="0"/>
        <v>tong-</v>
      </c>
      <c r="L8" s="90" t="s">
        <v>178</v>
      </c>
      <c r="M8" s="39">
        <f t="shared" si="1"/>
        <v>772</v>
      </c>
      <c r="N8" s="39" t="str">
        <f t="shared" si="2"/>
        <v>ō</v>
      </c>
      <c r="O8" s="39" t="str">
        <f xml:space="preserve"> IFERROR( _xlfn.CONCAT("t", "o", _xlfn.UNICHAR(HEX2DEC(RIGHT("U+0304",4))), "ng"), "")</f>
        <v>tōng</v>
      </c>
    </row>
    <row r="9" spans="2:15" ht="54" customHeight="1">
      <c r="B9" s="47">
        <v>7</v>
      </c>
      <c r="C9" s="44" t="s">
        <v>6</v>
      </c>
      <c r="D9" s="44" t="s">
        <v>5</v>
      </c>
      <c r="E9" s="45">
        <v>30</v>
      </c>
      <c r="F9" s="50" t="s">
        <v>43</v>
      </c>
      <c r="G9" s="43" t="s">
        <v>311</v>
      </c>
      <c r="H9" s="86" t="s">
        <v>300</v>
      </c>
      <c r="I9" s="49" t="str">
        <f xml:space="preserve"> IFERROR( _xlfn.CONCAT("t", "o", _xlfn.UNICHAR(HEX2DEC(RIGHT("U+0304",4))), "k"), "")</f>
        <v>tōk</v>
      </c>
      <c r="J9" s="86" t="str">
        <f xml:space="preserve"> _xlfn.CONCAT("tok", F9)</f>
        <v>tok[</v>
      </c>
      <c r="L9" s="90" t="s">
        <v>121</v>
      </c>
      <c r="M9" s="39">
        <f t="shared" si="1"/>
        <v>781</v>
      </c>
      <c r="N9" s="39" t="str">
        <f t="shared" si="2"/>
        <v>o̍</v>
      </c>
      <c r="O9" s="39" t="str">
        <f t="shared" si="3"/>
        <v>to̍ng</v>
      </c>
    </row>
    <row r="10" spans="2:15" ht="54" customHeight="1">
      <c r="B10" s="51">
        <v>8</v>
      </c>
      <c r="C10" s="53" t="s">
        <v>2</v>
      </c>
      <c r="D10" s="53" t="s">
        <v>1</v>
      </c>
      <c r="E10" s="52">
        <v>121</v>
      </c>
      <c r="F10" s="54" t="s">
        <v>44</v>
      </c>
      <c r="G10" s="55" t="s">
        <v>313</v>
      </c>
      <c r="H10" s="87" t="s">
        <v>35</v>
      </c>
      <c r="I10" s="56" t="str">
        <f xml:space="preserve"> IFERROR( _xlfn.CONCAT("t", "o", _xlfn.UNICHAR(HEX2DEC(RIGHT("U+0301",4))), "k"), "")</f>
        <v>tók</v>
      </c>
      <c r="J10" s="87" t="str">
        <f xml:space="preserve"> _xlfn.CONCAT("tok", F10)</f>
        <v>tok]</v>
      </c>
      <c r="L10" s="90" t="s">
        <v>122</v>
      </c>
      <c r="M10" s="39">
        <f t="shared" si="1"/>
        <v>779</v>
      </c>
      <c r="N10" s="39" t="str">
        <f t="shared" si="2"/>
        <v>ő</v>
      </c>
      <c r="O10" s="39" t="str">
        <f t="shared" si="3"/>
        <v>tőng</v>
      </c>
    </row>
    <row r="11" spans="2:15" ht="54" customHeight="1">
      <c r="B11" s="47">
        <v>0</v>
      </c>
      <c r="C11" s="44" t="s">
        <v>207</v>
      </c>
      <c r="D11" s="44" t="s">
        <v>208</v>
      </c>
      <c r="E11" s="45">
        <v>20</v>
      </c>
      <c r="F11" s="50">
        <v>7</v>
      </c>
      <c r="G11" s="43" t="s">
        <v>294</v>
      </c>
      <c r="H11" s="86" t="s">
        <v>211</v>
      </c>
      <c r="I11" s="49" t="str">
        <f xml:space="preserve"> IFERROR( _xlfn.CONCAT("ah", "⁰"), "")</f>
        <v>ah⁰</v>
      </c>
      <c r="J11" s="86" t="str">
        <f xml:space="preserve"> _xlfn.CONCAT("ah", F11)</f>
        <v>ah7</v>
      </c>
      <c r="L11" s="89"/>
    </row>
    <row r="18" spans="2:10" outlineLevel="1"/>
    <row r="19" spans="2:10" ht="57.75">
      <c r="B19" s="9">
        <v>4</v>
      </c>
      <c r="C19" s="11" t="s">
        <v>8</v>
      </c>
      <c r="D19" s="11"/>
      <c r="E19" s="10">
        <v>53</v>
      </c>
      <c r="F19" s="10"/>
      <c r="G19" s="15" t="s">
        <v>9</v>
      </c>
      <c r="H19" s="15"/>
      <c r="I19" s="11" t="str">
        <f xml:space="preserve"> "dong" &amp; J19</f>
        <v>dong6</v>
      </c>
      <c r="J19" s="10">
        <v>6</v>
      </c>
    </row>
  </sheetData>
  <mergeCells count="1">
    <mergeCell ref="H2:I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1A212-BC76-4FB3-9AC0-2C14DAF4E84E}">
  <dimension ref="B2:U11"/>
  <sheetViews>
    <sheetView showGridLines="0" workbookViewId="0">
      <selection activeCell="E3" sqref="E3:E11"/>
    </sheetView>
  </sheetViews>
  <sheetFormatPr defaultRowHeight="16.5"/>
  <cols>
    <col min="1" max="1" width="5.5" customWidth="1"/>
    <col min="2" max="2" width="13.5" customWidth="1"/>
    <col min="3" max="4" width="16.25" customWidth="1"/>
    <col min="5" max="5" width="11.5" customWidth="1"/>
    <col min="6" max="6" width="12.5" bestFit="1" customWidth="1"/>
    <col min="7" max="10" width="18" customWidth="1"/>
    <col min="19" max="19" width="27" customWidth="1"/>
  </cols>
  <sheetData>
    <row r="2" spans="2:21" ht="25.5">
      <c r="B2" s="14" t="s">
        <v>285</v>
      </c>
      <c r="C2" s="14" t="s">
        <v>222</v>
      </c>
      <c r="D2" s="14" t="s">
        <v>286</v>
      </c>
      <c r="E2" s="14" t="s">
        <v>30</v>
      </c>
      <c r="F2" s="13" t="s">
        <v>201</v>
      </c>
      <c r="G2" s="13" t="s">
        <v>202</v>
      </c>
      <c r="H2" s="13" t="s">
        <v>282</v>
      </c>
      <c r="I2" s="14" t="s">
        <v>259</v>
      </c>
      <c r="J2" s="14" t="s">
        <v>204</v>
      </c>
    </row>
    <row r="3" spans="2:21" ht="57.75">
      <c r="B3" s="12">
        <v>1</v>
      </c>
      <c r="C3" s="67" t="s">
        <v>273</v>
      </c>
      <c r="D3" s="67" t="s">
        <v>287</v>
      </c>
      <c r="E3" s="68">
        <v>44</v>
      </c>
      <c r="F3" s="68" t="s">
        <v>283</v>
      </c>
      <c r="G3" s="98" t="s">
        <v>304</v>
      </c>
      <c r="H3" s="62" t="s">
        <v>45</v>
      </c>
      <c r="I3" s="63" t="s">
        <v>214</v>
      </c>
      <c r="J3" s="63" t="str">
        <f xml:space="preserve"> _xlfn.CONCAT(I3, F3)</f>
        <v>ㄊㆲ:</v>
      </c>
      <c r="L3" s="67" t="str">
        <f xml:space="preserve"> _xlfn.CONCAT("ㄚ",_xlfn.UNICHAR(HEX2DEC(RIGHT("U+0304",4))))</f>
        <v>ㄚ̄</v>
      </c>
      <c r="N3" s="35" t="s">
        <v>185</v>
      </c>
      <c r="O3" s="39">
        <f xml:space="preserve"> IFERROR( HEX2DEC(RIGHT(N3,4)), "")</f>
        <v>769</v>
      </c>
      <c r="P3" s="39" t="str">
        <f xml:space="preserve"> IFERROR( _xlfn.CONCAT("o", _xlfn.UNICHAR(HEX2DEC(RIGHT(N3,4)))), "")</f>
        <v>ó</v>
      </c>
      <c r="Q3" s="39" t="str">
        <f xml:space="preserve"> IFERROR( _xlfn.CONCAT("t", "o", _xlfn.UNICHAR(HEX2DEC(RIGHT(N3,4))), "ng"), "")</f>
        <v>tóng</v>
      </c>
      <c r="S3" s="67" t="str">
        <f xml:space="preserve"> _xlfn.CONCAT( LEFT(C3,2), " ", L3,)</f>
        <v>陰平 ㄚ̄</v>
      </c>
      <c r="U3" t="s">
        <v>264</v>
      </c>
    </row>
    <row r="4" spans="2:21" ht="57.75">
      <c r="B4" s="4">
        <v>2</v>
      </c>
      <c r="C4" s="70" t="s">
        <v>274</v>
      </c>
      <c r="D4" s="70" t="s">
        <v>288</v>
      </c>
      <c r="E4" s="71">
        <v>24</v>
      </c>
      <c r="F4" s="71">
        <v>6</v>
      </c>
      <c r="G4" s="99" t="s">
        <v>306</v>
      </c>
      <c r="H4" s="64" t="s">
        <v>296</v>
      </c>
      <c r="I4" s="65" t="s">
        <v>218</v>
      </c>
      <c r="J4" s="65" t="str">
        <f xml:space="preserve"> _xlfn.CONCAT( LEFT( I4, LEN(I4)-1), F4)</f>
        <v>ㄊㆲ6</v>
      </c>
      <c r="L4" s="67" t="str">
        <f xml:space="preserve"> _xlfn.CONCAT("ㄚ",_xlfn.UNICHAR(HEX2DEC(RIGHT("U+0301",4))))</f>
        <v>ㄚ́</v>
      </c>
      <c r="N4" s="35" t="s">
        <v>186</v>
      </c>
      <c r="O4" s="39">
        <f t="shared" ref="O4:O10" si="0" xml:space="preserve"> IFERROR( HEX2DEC(RIGHT(N4,4)), "")</f>
        <v>768</v>
      </c>
      <c r="P4" s="39" t="str">
        <f t="shared" ref="P4:P10" si="1" xml:space="preserve"> IFERROR( _xlfn.CONCAT("o", _xlfn.UNICHAR(HEX2DEC(RIGHT(N4,4)))), "")</f>
        <v>ò</v>
      </c>
      <c r="Q4" s="39" t="str">
        <f t="shared" ref="Q4:Q10" si="2" xml:space="preserve"> IFERROR( _xlfn.CONCAT("t", "o", _xlfn.UNICHAR(HEX2DEC(RIGHT(N4,4))), "ng"), "")</f>
        <v>tòng</v>
      </c>
      <c r="S4" s="67" t="str">
        <f t="shared" ref="S4:S11" si="3" xml:space="preserve"> _xlfn.CONCAT( LEFT(C4,2), " ", L4,)</f>
        <v>陽平 ㄚ́</v>
      </c>
      <c r="U4" t="s">
        <v>265</v>
      </c>
    </row>
    <row r="5" spans="2:21" ht="57.75">
      <c r="B5" s="12">
        <v>3</v>
      </c>
      <c r="C5" s="67" t="s">
        <v>275</v>
      </c>
      <c r="D5" s="67" t="s">
        <v>289</v>
      </c>
      <c r="E5" s="68">
        <v>53</v>
      </c>
      <c r="F5" s="68">
        <v>4</v>
      </c>
      <c r="G5" s="98" t="s">
        <v>308</v>
      </c>
      <c r="H5" s="62" t="s">
        <v>297</v>
      </c>
      <c r="I5" s="66" t="s">
        <v>215</v>
      </c>
      <c r="J5" s="66" t="str">
        <f xml:space="preserve"> _xlfn.CONCAT( LEFT( I5, LEN(I5)-1), F5)</f>
        <v>ㄊㆲ4</v>
      </c>
      <c r="L5" s="67" t="str">
        <f xml:space="preserve"> _xlfn.CONCAT("ㄚ",_xlfn.UNICHAR(HEX2DEC(RIGHT("U+030C",4))))</f>
        <v>ㄚ̌</v>
      </c>
      <c r="N5" s="36" t="s">
        <v>121</v>
      </c>
      <c r="O5" s="39">
        <f t="shared" si="0"/>
        <v>781</v>
      </c>
      <c r="P5" s="39" t="str">
        <f t="shared" si="1"/>
        <v>o̍</v>
      </c>
      <c r="Q5" s="39" t="str">
        <f t="shared" si="2"/>
        <v>to̍ng</v>
      </c>
      <c r="S5" s="67" t="str">
        <f t="shared" si="3"/>
        <v>陰上 ㄚ̌</v>
      </c>
      <c r="U5" t="s">
        <v>266</v>
      </c>
    </row>
    <row r="6" spans="2:21" ht="42">
      <c r="B6" s="4">
        <v>4</v>
      </c>
      <c r="C6" s="70" t="s">
        <v>276</v>
      </c>
      <c r="D6" s="75"/>
      <c r="E6" s="75"/>
      <c r="F6" s="75"/>
      <c r="G6" s="100"/>
      <c r="H6" s="75"/>
      <c r="I6" s="75"/>
      <c r="J6" s="75"/>
      <c r="L6" s="67" t="str">
        <f t="shared" ref="L6" si="4" xml:space="preserve"> _xlfn.CONCAT("ㄚ",_xlfn.UNICHAR(HEX2DEC(RIGHT("U+0304",4))))</f>
        <v>ㄚ̄</v>
      </c>
      <c r="N6" s="35" t="s">
        <v>120</v>
      </c>
      <c r="O6" s="39">
        <f t="shared" si="0"/>
        <v>770</v>
      </c>
      <c r="P6" s="39" t="str">
        <f t="shared" si="1"/>
        <v>ô</v>
      </c>
      <c r="Q6" s="39" t="str">
        <f t="shared" si="2"/>
        <v>tông</v>
      </c>
      <c r="S6" s="67" t="str">
        <f t="shared" si="3"/>
        <v>陽上 ㄚ̄</v>
      </c>
      <c r="U6" t="s">
        <v>267</v>
      </c>
    </row>
    <row r="7" spans="2:21" ht="57.75">
      <c r="B7" s="12">
        <v>5</v>
      </c>
      <c r="C7" s="67" t="s">
        <v>277</v>
      </c>
      <c r="D7" s="67" t="s">
        <v>290</v>
      </c>
      <c r="E7" s="68">
        <v>21</v>
      </c>
      <c r="F7" s="68">
        <v>3</v>
      </c>
      <c r="G7" s="101" t="s">
        <v>310</v>
      </c>
      <c r="H7" s="62" t="s">
        <v>298</v>
      </c>
      <c r="I7" s="66" t="s">
        <v>216</v>
      </c>
      <c r="J7" s="66" t="str">
        <f t="shared" ref="J7:J11" si="5" xml:space="preserve"> _xlfn.CONCAT( LEFT( I7, LEN(I7)-1), F7)</f>
        <v>ㄊㆲ3</v>
      </c>
      <c r="L7" s="67" t="str">
        <f xml:space="preserve"> _xlfn.CONCAT("ㄚ",_xlfn.UNICHAR(HEX2DEC(RIGHT("U+0300",4))))</f>
        <v>ㄚ̀</v>
      </c>
      <c r="N7" s="35" t="s">
        <v>177</v>
      </c>
      <c r="O7" s="39">
        <f t="shared" si="0"/>
        <v>780</v>
      </c>
      <c r="P7" s="39" t="str">
        <f t="shared" si="1"/>
        <v>ǒ</v>
      </c>
      <c r="Q7" s="39" t="str">
        <f t="shared" si="2"/>
        <v>tǒng</v>
      </c>
      <c r="S7" s="67" t="str">
        <f t="shared" si="3"/>
        <v>陰去 ㄚ̀</v>
      </c>
      <c r="U7" t="s">
        <v>268</v>
      </c>
    </row>
    <row r="8" spans="2:21" ht="57.75">
      <c r="B8" s="4">
        <v>6</v>
      </c>
      <c r="C8" s="70" t="s">
        <v>278</v>
      </c>
      <c r="D8" s="70" t="s">
        <v>291</v>
      </c>
      <c r="E8" s="71">
        <v>22</v>
      </c>
      <c r="F8" s="71">
        <v>5</v>
      </c>
      <c r="G8" s="102" t="s">
        <v>306</v>
      </c>
      <c r="H8" s="64" t="s">
        <v>299</v>
      </c>
      <c r="I8" s="65" t="s">
        <v>219</v>
      </c>
      <c r="J8" s="65" t="str">
        <f t="shared" si="5"/>
        <v>ㄊㆲ5</v>
      </c>
      <c r="L8" s="67" t="str">
        <f xml:space="preserve"> _xlfn.CONCAT("ㄚ",_xlfn.UNICHAR(HEX2DEC(RIGHT("U+0302",4))))</f>
        <v>ㄚ̂</v>
      </c>
      <c r="N8" s="35" t="s">
        <v>178</v>
      </c>
      <c r="O8" s="39">
        <f t="shared" si="0"/>
        <v>772</v>
      </c>
      <c r="P8" s="39" t="str">
        <f t="shared" si="1"/>
        <v>ō</v>
      </c>
      <c r="Q8" s="39" t="str">
        <f xml:space="preserve"> IFERROR( _xlfn.CONCAT("t", "o", _xlfn.UNICHAR(HEX2DEC(RIGHT("U+0304",4))), "ng"), "")</f>
        <v>tōng</v>
      </c>
      <c r="S8" s="67" t="str">
        <f t="shared" si="3"/>
        <v>陽去 ㄚ̂</v>
      </c>
      <c r="U8" t="s">
        <v>269</v>
      </c>
    </row>
    <row r="9" spans="2:21" ht="57.75">
      <c r="B9" s="12">
        <v>7</v>
      </c>
      <c r="C9" s="67" t="s">
        <v>279</v>
      </c>
      <c r="D9" s="67" t="s">
        <v>292</v>
      </c>
      <c r="E9" s="68">
        <v>30</v>
      </c>
      <c r="F9" s="68" t="s">
        <v>43</v>
      </c>
      <c r="G9" s="101" t="s">
        <v>312</v>
      </c>
      <c r="H9" s="62" t="s">
        <v>300</v>
      </c>
      <c r="I9" s="66" t="s">
        <v>261</v>
      </c>
      <c r="J9" s="66" t="str">
        <f xml:space="preserve"> _xlfn.CONCAT( LEFT( I9, LEN(I9)), F9)</f>
        <v>ㄊㆦㆻ[</v>
      </c>
      <c r="L9" s="67" t="str">
        <f xml:space="preserve"> _xlfn.CONCAT("ㄚ", "ㆷ", _xlfn.UNICHAR(HEX2DEC(RIGHT("U+0304",4))))</f>
        <v>ㄚㆷ̄</v>
      </c>
      <c r="N9" s="35" t="s">
        <v>210</v>
      </c>
      <c r="O9" s="39">
        <f t="shared" si="0"/>
        <v>781</v>
      </c>
      <c r="P9" s="39" t="str">
        <f t="shared" si="1"/>
        <v>o̍</v>
      </c>
      <c r="Q9" s="39" t="str">
        <f t="shared" si="2"/>
        <v>to̍ng</v>
      </c>
      <c r="S9" s="67" t="str">
        <f t="shared" si="3"/>
        <v>陰入 ㄚㆷ̄</v>
      </c>
      <c r="U9" t="s">
        <v>270</v>
      </c>
    </row>
    <row r="10" spans="2:21" ht="57.75">
      <c r="B10" s="4">
        <v>8</v>
      </c>
      <c r="C10" s="70" t="s">
        <v>280</v>
      </c>
      <c r="D10" s="70" t="s">
        <v>293</v>
      </c>
      <c r="E10" s="71">
        <v>121</v>
      </c>
      <c r="F10" s="71" t="s">
        <v>44</v>
      </c>
      <c r="G10" s="102" t="s">
        <v>314</v>
      </c>
      <c r="H10" s="64" t="s">
        <v>220</v>
      </c>
      <c r="I10" s="65" t="s">
        <v>262</v>
      </c>
      <c r="J10" s="65" t="str">
        <f t="shared" si="5"/>
        <v>ㄊㆦㆻ]</v>
      </c>
      <c r="L10" s="67" t="str">
        <f xml:space="preserve"> _xlfn.CONCAT("ㄚ", "ㆷ", _xlfn.UNICHAR(HEX2DEC(RIGHT("U+0301",4))))</f>
        <v>ㄚㆷ́</v>
      </c>
      <c r="N10" s="35" t="s">
        <v>122</v>
      </c>
      <c r="O10" s="39">
        <f t="shared" si="0"/>
        <v>779</v>
      </c>
      <c r="P10" s="39" t="str">
        <f t="shared" si="1"/>
        <v>ő</v>
      </c>
      <c r="Q10" s="39" t="str">
        <f t="shared" si="2"/>
        <v>tőng</v>
      </c>
      <c r="S10" s="67" t="str">
        <f t="shared" si="3"/>
        <v>陽入 ㄚㆷ́</v>
      </c>
      <c r="U10" t="s">
        <v>271</v>
      </c>
    </row>
    <row r="11" spans="2:21" ht="57.75">
      <c r="B11" s="12">
        <v>0</v>
      </c>
      <c r="C11" s="67" t="s">
        <v>281</v>
      </c>
      <c r="D11" s="67" t="s">
        <v>284</v>
      </c>
      <c r="E11" s="68">
        <v>20</v>
      </c>
      <c r="F11" s="68">
        <v>7</v>
      </c>
      <c r="G11" s="98" t="s">
        <v>209</v>
      </c>
      <c r="H11" s="62" t="s">
        <v>211</v>
      </c>
      <c r="I11" s="66" t="s">
        <v>260</v>
      </c>
      <c r="J11" s="66" t="str">
        <f t="shared" si="5"/>
        <v>ㄚㆷ7</v>
      </c>
      <c r="L11" s="67" t="str">
        <f xml:space="preserve"> _xlfn.CONCAT("ㄚ", "ㆷ", _xlfn.UNICHAR(HEX2DEC(RIGHT("U+02D9",4))))</f>
        <v>ㄚㆷ˙</v>
      </c>
      <c r="S11" s="67" t="str">
        <f t="shared" si="3"/>
        <v>輕聲 ㄚㆷ˙</v>
      </c>
      <c r="U11" t="s">
        <v>272</v>
      </c>
    </row>
  </sheetData>
  <phoneticPr fontId="1" type="noConversion"/>
  <hyperlinks>
    <hyperlink ref="N3" r:id="rId1" display="https://zi-hi.com/sp/uni/0301" xr:uid="{29557F67-C9E1-4207-ADB3-05F135001A7D}"/>
    <hyperlink ref="N4" r:id="rId2" display="https://zi-hi.com/sp/uni/0300" xr:uid="{584FA487-D384-410F-94AE-997BFBD2F0D8}"/>
    <hyperlink ref="N6" r:id="rId3" display="https://zi-hi.com/sp/uni/0302" xr:uid="{062EA93B-82EA-4958-9DC7-1DBEF3133A6B}"/>
    <hyperlink ref="N7" r:id="rId4" display="https://zi-hi.com/sp/uni/030C" xr:uid="{9A22CE96-0A67-43FA-AD4B-031FFDA6176F}"/>
    <hyperlink ref="N8" r:id="rId5" display="https://zi-hi.com/sp/uni/0304" xr:uid="{70982C0D-2852-40A7-83D2-6FBB84065F85}"/>
    <hyperlink ref="N9" r:id="rId6" display="https://zi-hi.com/sp/uni/030D" xr:uid="{8DB31655-ECC1-4C79-8EDE-6EB6127CF1FA}"/>
    <hyperlink ref="N10" r:id="rId7" display="https://zi-hi.com/sp/uni/030B" xr:uid="{13744238-B778-4891-82A3-79717A6C608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17A80-03F8-423A-8766-B16781C638F3}">
  <dimension ref="B2:V11"/>
  <sheetViews>
    <sheetView workbookViewId="0">
      <selection activeCell="F3" sqref="F3:F11"/>
    </sheetView>
  </sheetViews>
  <sheetFormatPr defaultRowHeight="16.5"/>
  <cols>
    <col min="1" max="1" width="5.5" customWidth="1"/>
    <col min="2" max="2" width="7.5" bestFit="1" customWidth="1"/>
    <col min="3" max="3" width="19.625" bestFit="1" customWidth="1"/>
    <col min="4" max="4" width="11.5" customWidth="1"/>
    <col min="5" max="5" width="12.5" bestFit="1" customWidth="1"/>
    <col min="6" max="6" width="18" customWidth="1"/>
    <col min="7" max="7" width="20.375" bestFit="1" customWidth="1"/>
    <col min="8" max="9" width="19.5" customWidth="1"/>
    <col min="19" max="19" width="22.25" customWidth="1"/>
  </cols>
  <sheetData>
    <row r="2" spans="2:22" ht="25.5">
      <c r="B2" s="14" t="s">
        <v>221</v>
      </c>
      <c r="C2" s="14" t="s">
        <v>222</v>
      </c>
      <c r="D2" s="14" t="s">
        <v>30</v>
      </c>
      <c r="E2" s="13" t="s">
        <v>201</v>
      </c>
      <c r="F2" s="13" t="s">
        <v>202</v>
      </c>
      <c r="G2" s="13" t="s">
        <v>223</v>
      </c>
      <c r="H2" s="14" t="s">
        <v>259</v>
      </c>
      <c r="I2" s="14" t="s">
        <v>204</v>
      </c>
    </row>
    <row r="3" spans="2:22" ht="45">
      <c r="B3" s="12">
        <v>1</v>
      </c>
      <c r="C3" s="67" t="s">
        <v>224</v>
      </c>
      <c r="D3" s="68">
        <v>44</v>
      </c>
      <c r="E3" s="74" t="s">
        <v>263</v>
      </c>
      <c r="F3" s="58" t="s">
        <v>26</v>
      </c>
      <c r="G3" s="62" t="s">
        <v>45</v>
      </c>
      <c r="H3" s="63" t="s">
        <v>214</v>
      </c>
      <c r="I3" s="63" t="str">
        <f xml:space="preserve"> _xlfn.CONCAT(H3, E3)</f>
        <v>ㄊㆲ'</v>
      </c>
      <c r="K3" s="67" t="str">
        <f xml:space="preserve"> _xlfn.CONCAT("ㄚ",_xlfn.UNICHAR(HEX2DEC(RIGHT("U+0304",4))))</f>
        <v>ㄚ̄</v>
      </c>
      <c r="M3" s="35" t="s">
        <v>185</v>
      </c>
      <c r="N3" s="39">
        <f xml:space="preserve"> IFERROR( HEX2DEC(RIGHT(M3,4)), "")</f>
        <v>769</v>
      </c>
      <c r="O3" s="39" t="str">
        <f xml:space="preserve"> IFERROR( _xlfn.CONCAT("o", _xlfn.UNICHAR(HEX2DEC(RIGHT(M3,4)))), "")</f>
        <v>ó</v>
      </c>
      <c r="P3" s="39" t="str">
        <f xml:space="preserve"> IFERROR( _xlfn.CONCAT("t", "o", _xlfn.UNICHAR(HEX2DEC(RIGHT(M3,4))), "ng"), "")</f>
        <v>tóng</v>
      </c>
      <c r="S3" s="73" t="s">
        <v>249</v>
      </c>
      <c r="T3" s="73"/>
      <c r="U3" s="67" t="str">
        <f xml:space="preserve"> IFERROR( _xlfn.CONCAT("ㄚ", "ㆷ", _xlfn.UNICHAR(HEX2DEC(RIGHT("U+02D9",4)))), "")</f>
        <v>ㄚㆷ˙</v>
      </c>
      <c r="V3" s="73"/>
    </row>
    <row r="4" spans="2:22" ht="45">
      <c r="B4" s="4">
        <v>2</v>
      </c>
      <c r="C4" s="70" t="s">
        <v>225</v>
      </c>
      <c r="D4" s="71">
        <v>24</v>
      </c>
      <c r="E4" s="72">
        <v>4</v>
      </c>
      <c r="F4" s="59" t="s">
        <v>226</v>
      </c>
      <c r="G4" s="64" t="s">
        <v>49</v>
      </c>
      <c r="H4" s="65" t="s">
        <v>215</v>
      </c>
      <c r="I4" s="65" t="str">
        <f xml:space="preserve"> _xlfn.CONCAT( LEFT( H4, LEN(H4)-1), E4)</f>
        <v>ㄊㆲ4</v>
      </c>
      <c r="M4" s="35" t="s">
        <v>186</v>
      </c>
      <c r="N4" s="39">
        <f t="shared" ref="N4:N10" si="0" xml:space="preserve"> IFERROR( HEX2DEC(RIGHT(M4,4)), "")</f>
        <v>768</v>
      </c>
      <c r="O4" s="39" t="str">
        <f t="shared" ref="O4:O10" si="1" xml:space="preserve"> IFERROR( _xlfn.CONCAT("o", _xlfn.UNICHAR(HEX2DEC(RIGHT(M4,4)))), "")</f>
        <v>ò</v>
      </c>
      <c r="P4" s="39" t="str">
        <f t="shared" ref="P4:P10" si="2" xml:space="preserve"> IFERROR( _xlfn.CONCAT("t", "o", _xlfn.UNICHAR(HEX2DEC(RIGHT(M4,4))), "ng"), "")</f>
        <v>tòng</v>
      </c>
      <c r="S4" s="73" t="s">
        <v>235</v>
      </c>
      <c r="T4" s="73" t="s">
        <v>250</v>
      </c>
      <c r="U4" s="73" t="s">
        <v>236</v>
      </c>
      <c r="V4" s="73" t="s">
        <v>237</v>
      </c>
    </row>
    <row r="5" spans="2:22" ht="45">
      <c r="B5" s="12">
        <v>3</v>
      </c>
      <c r="C5" s="67" t="s">
        <v>227</v>
      </c>
      <c r="D5" s="68">
        <v>53</v>
      </c>
      <c r="E5" s="69">
        <v>3</v>
      </c>
      <c r="F5" s="58" t="s">
        <v>19</v>
      </c>
      <c r="G5" s="62" t="s">
        <v>48</v>
      </c>
      <c r="H5" s="66" t="s">
        <v>216</v>
      </c>
      <c r="I5" s="66" t="str">
        <f xml:space="preserve"> _xlfn.CONCAT( LEFT( H5, LEN(H5)-1), E5)</f>
        <v>ㄊㆲ3</v>
      </c>
      <c r="M5" s="36" t="s">
        <v>121</v>
      </c>
      <c r="N5" s="39">
        <f t="shared" si="0"/>
        <v>781</v>
      </c>
      <c r="O5" s="39" t="str">
        <f t="shared" si="1"/>
        <v>o̍</v>
      </c>
      <c r="P5" s="39" t="str">
        <f t="shared" si="2"/>
        <v>to̍ng</v>
      </c>
      <c r="S5" s="73" t="s">
        <v>238</v>
      </c>
      <c r="T5" s="73" t="s">
        <v>251</v>
      </c>
      <c r="U5" s="73" t="s">
        <v>239</v>
      </c>
      <c r="V5" s="73" t="s">
        <v>252</v>
      </c>
    </row>
    <row r="6" spans="2:22" ht="45">
      <c r="B6" s="4">
        <v>4</v>
      </c>
      <c r="C6" s="70" t="s">
        <v>233</v>
      </c>
      <c r="D6" s="71"/>
      <c r="E6" s="72" t="s">
        <v>43</v>
      </c>
      <c r="F6" s="60" t="s">
        <v>7</v>
      </c>
      <c r="G6" s="64" t="s">
        <v>217</v>
      </c>
      <c r="H6" s="65" t="s">
        <v>261</v>
      </c>
      <c r="I6" s="65" t="str">
        <f xml:space="preserve"> _xlfn.CONCAT(H6, E6)</f>
        <v>ㄊㆦㆻ[</v>
      </c>
      <c r="M6" s="35" t="s">
        <v>120</v>
      </c>
      <c r="N6" s="39">
        <f t="shared" si="0"/>
        <v>770</v>
      </c>
      <c r="O6" s="39" t="str">
        <f t="shared" si="1"/>
        <v>ô</v>
      </c>
      <c r="P6" s="39" t="str">
        <f t="shared" si="2"/>
        <v>tông</v>
      </c>
      <c r="S6" s="73" t="s">
        <v>240</v>
      </c>
      <c r="T6" s="73" t="s">
        <v>253</v>
      </c>
      <c r="U6" s="73" t="s">
        <v>241</v>
      </c>
      <c r="V6" s="73" t="s">
        <v>242</v>
      </c>
    </row>
    <row r="7" spans="2:22" ht="45">
      <c r="B7" s="12">
        <v>5</v>
      </c>
      <c r="C7" s="67" t="s">
        <v>228</v>
      </c>
      <c r="D7" s="68">
        <v>21</v>
      </c>
      <c r="E7" s="69">
        <v>6</v>
      </c>
      <c r="F7" s="61" t="s">
        <v>15</v>
      </c>
      <c r="G7" s="62" t="s">
        <v>50</v>
      </c>
      <c r="H7" s="66" t="s">
        <v>218</v>
      </c>
      <c r="I7" s="66" t="str">
        <f t="shared" ref="I7:I11" si="3" xml:space="preserve"> _xlfn.CONCAT( LEFT( H7, LEN(H7)-1), E7)</f>
        <v>ㄊㆲ6</v>
      </c>
      <c r="M7" s="35" t="s">
        <v>177</v>
      </c>
      <c r="N7" s="39">
        <f t="shared" si="0"/>
        <v>780</v>
      </c>
      <c r="O7" s="39" t="str">
        <f t="shared" si="1"/>
        <v>ǒ</v>
      </c>
      <c r="P7" s="39" t="str">
        <f t="shared" si="2"/>
        <v>tǒng</v>
      </c>
      <c r="S7" s="73" t="s">
        <v>10</v>
      </c>
      <c r="T7" s="73" t="s">
        <v>254</v>
      </c>
      <c r="U7" s="73" t="s">
        <v>243</v>
      </c>
      <c r="V7" s="73"/>
    </row>
    <row r="8" spans="2:22" ht="45">
      <c r="B8" s="4">
        <v>6</v>
      </c>
      <c r="C8" s="70" t="s">
        <v>229</v>
      </c>
      <c r="D8" s="75">
        <v>22</v>
      </c>
      <c r="E8" s="76"/>
      <c r="F8" s="60" t="s">
        <v>23</v>
      </c>
      <c r="G8" s="64" t="s">
        <v>205</v>
      </c>
      <c r="H8" s="65" t="s">
        <v>215</v>
      </c>
      <c r="I8" s="65" t="str">
        <f t="shared" si="3"/>
        <v>ㄊㆲ</v>
      </c>
      <c r="M8" s="35" t="s">
        <v>178</v>
      </c>
      <c r="N8" s="39">
        <f t="shared" si="0"/>
        <v>772</v>
      </c>
      <c r="O8" s="39" t="str">
        <f t="shared" si="1"/>
        <v>ō</v>
      </c>
      <c r="P8" s="39" t="str">
        <f xml:space="preserve"> IFERROR( _xlfn.CONCAT("t", "o", _xlfn.UNICHAR(HEX2DEC(RIGHT("U+0304",4))), "ng"), "")</f>
        <v>tōng</v>
      </c>
      <c r="S8" s="73" t="s">
        <v>16</v>
      </c>
      <c r="T8" s="73" t="s">
        <v>255</v>
      </c>
      <c r="U8" s="73" t="s">
        <v>244</v>
      </c>
      <c r="V8" s="73"/>
    </row>
    <row r="9" spans="2:22" ht="45">
      <c r="B9" s="12">
        <v>7</v>
      </c>
      <c r="C9" s="67" t="s">
        <v>230</v>
      </c>
      <c r="D9" s="68">
        <v>30</v>
      </c>
      <c r="E9" s="69">
        <v>5</v>
      </c>
      <c r="F9" s="58" t="s">
        <v>231</v>
      </c>
      <c r="G9" s="62" t="s">
        <v>47</v>
      </c>
      <c r="H9" s="66" t="s">
        <v>219</v>
      </c>
      <c r="I9" s="66" t="str">
        <f t="shared" si="3"/>
        <v>ㄊㆲ5</v>
      </c>
      <c r="M9" s="35" t="s">
        <v>210</v>
      </c>
      <c r="N9" s="39">
        <f t="shared" si="0"/>
        <v>781</v>
      </c>
      <c r="O9" s="39" t="str">
        <f t="shared" si="1"/>
        <v>o̍</v>
      </c>
      <c r="P9" s="39" t="str">
        <f t="shared" si="2"/>
        <v>to̍ng</v>
      </c>
      <c r="S9" s="73" t="s">
        <v>12</v>
      </c>
      <c r="T9" s="73" t="s">
        <v>256</v>
      </c>
      <c r="U9" s="73" t="s">
        <v>245</v>
      </c>
      <c r="V9" s="73"/>
    </row>
    <row r="10" spans="2:22" ht="45">
      <c r="B10" s="4">
        <v>8</v>
      </c>
      <c r="C10" s="70" t="s">
        <v>234</v>
      </c>
      <c r="D10" s="71">
        <v>121</v>
      </c>
      <c r="E10" s="72" t="s">
        <v>44</v>
      </c>
      <c r="F10" s="60" t="s">
        <v>232</v>
      </c>
      <c r="G10" s="64" t="s">
        <v>220</v>
      </c>
      <c r="H10" s="65" t="s">
        <v>262</v>
      </c>
      <c r="I10" s="65" t="str">
        <f t="shared" si="3"/>
        <v>ㄊㆦㆻ]</v>
      </c>
      <c r="M10" s="35" t="s">
        <v>122</v>
      </c>
      <c r="N10" s="39">
        <f t="shared" si="0"/>
        <v>779</v>
      </c>
      <c r="O10" s="39" t="str">
        <f t="shared" si="1"/>
        <v>ő</v>
      </c>
      <c r="P10" s="39" t="str">
        <f t="shared" si="2"/>
        <v>tőng</v>
      </c>
      <c r="S10" s="73" t="s">
        <v>20</v>
      </c>
      <c r="T10" s="73" t="s">
        <v>257</v>
      </c>
      <c r="U10" s="73" t="s">
        <v>246</v>
      </c>
      <c r="V10" s="73"/>
    </row>
    <row r="11" spans="2:22" ht="45">
      <c r="B11" s="12">
        <v>0</v>
      </c>
      <c r="C11" s="67" t="s">
        <v>258</v>
      </c>
      <c r="D11" s="68">
        <v>20</v>
      </c>
      <c r="E11" s="69">
        <v>7</v>
      </c>
      <c r="F11" s="58" t="s">
        <v>209</v>
      </c>
      <c r="G11" s="62" t="s">
        <v>211</v>
      </c>
      <c r="H11" s="66" t="s">
        <v>260</v>
      </c>
      <c r="I11" s="66" t="str">
        <f t="shared" si="3"/>
        <v>ㄚㆷ7</v>
      </c>
      <c r="K11" s="67" t="str">
        <f xml:space="preserve"> _xlfn.CONCAT("ㄚ", "ㆷ", _xlfn.UNICHAR(HEX2DEC(RIGHT("U+02D9",4))))</f>
        <v>ㄚㆷ˙</v>
      </c>
      <c r="S11" s="73" t="s">
        <v>0</v>
      </c>
      <c r="T11" s="73" t="s">
        <v>253</v>
      </c>
      <c r="U11" s="73" t="s">
        <v>247</v>
      </c>
      <c r="V11" s="73" t="s">
        <v>248</v>
      </c>
    </row>
  </sheetData>
  <phoneticPr fontId="1" type="noConversion"/>
  <hyperlinks>
    <hyperlink ref="M3" r:id="rId1" display="https://zi-hi.com/sp/uni/0301" xr:uid="{E53FE4A9-8C98-4EB7-BECA-CF85F7E6DF6C}"/>
    <hyperlink ref="M4" r:id="rId2" display="https://zi-hi.com/sp/uni/0300" xr:uid="{58B59806-333F-404D-A1FE-98BF5ABD1B1E}"/>
    <hyperlink ref="M6" r:id="rId3" display="https://zi-hi.com/sp/uni/0302" xr:uid="{DA11F8A5-DB21-4F7F-9B9F-8F27CFD4CE3D}"/>
    <hyperlink ref="M7" r:id="rId4" display="https://zi-hi.com/sp/uni/030C" xr:uid="{01C08107-E3D2-4641-82A0-A309B28467F5}"/>
    <hyperlink ref="M8" r:id="rId5" display="https://zi-hi.com/sp/uni/0304" xr:uid="{A30785C5-610F-4AA6-9A6B-A9A8D94B1583}"/>
    <hyperlink ref="M9" r:id="rId6" display="https://zi-hi.com/sp/uni/030D" xr:uid="{02DFC5FA-25F8-44B6-8ED6-11E3747FE64A}"/>
    <hyperlink ref="M10" r:id="rId7" display="https://zi-hi.com/sp/uni/030B" xr:uid="{D016CECA-BC79-4266-BA30-B2C800ABD3F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180E-22C7-41E3-9B1C-02C96E708532}">
  <dimension ref="B2:O18"/>
  <sheetViews>
    <sheetView showGridLines="0" workbookViewId="0">
      <selection activeCell="K1" sqref="K1:P1048576"/>
    </sheetView>
  </sheetViews>
  <sheetFormatPr defaultRowHeight="16.5" outlineLevelRow="1"/>
  <cols>
    <col min="1" max="1" width="4.125" customWidth="1"/>
    <col min="2" max="2" width="14" customWidth="1"/>
    <col min="3" max="3" width="10.5" bestFit="1" customWidth="1"/>
    <col min="4" max="5" width="15.375" customWidth="1"/>
    <col min="6" max="6" width="15" customWidth="1"/>
    <col min="7" max="8" width="14.75" customWidth="1"/>
    <col min="9" max="9" width="15.375" customWidth="1"/>
    <col min="10" max="10" width="15" customWidth="1"/>
  </cols>
  <sheetData>
    <row r="2" spans="2:15" ht="25.5">
      <c r="B2" s="13" t="s">
        <v>199</v>
      </c>
      <c r="C2" s="13" t="s">
        <v>30</v>
      </c>
      <c r="D2" s="14" t="s">
        <v>32</v>
      </c>
      <c r="E2" s="14" t="s">
        <v>31</v>
      </c>
      <c r="F2" s="13" t="s">
        <v>201</v>
      </c>
      <c r="G2" s="13" t="s">
        <v>202</v>
      </c>
      <c r="H2" s="81" t="s">
        <v>203</v>
      </c>
      <c r="I2" s="82"/>
      <c r="J2" s="14" t="s">
        <v>204</v>
      </c>
    </row>
    <row r="3" spans="2:15" ht="57.75">
      <c r="B3" s="47">
        <v>1</v>
      </c>
      <c r="C3" s="45">
        <v>44</v>
      </c>
      <c r="D3" s="44" t="s">
        <v>25</v>
      </c>
      <c r="E3" s="44" t="s">
        <v>24</v>
      </c>
      <c r="F3" s="50" t="s">
        <v>38</v>
      </c>
      <c r="G3" s="43" t="s">
        <v>26</v>
      </c>
      <c r="H3" s="49" t="s">
        <v>45</v>
      </c>
      <c r="I3" s="49" t="str">
        <f xml:space="preserve"> IFERROR( _xlfn.CONCAT("t", "o", "ng"), "")</f>
        <v>tong</v>
      </c>
      <c r="J3" s="49" t="str">
        <f xml:space="preserve"> _xlfn.CONCAT("tong", F3)</f>
        <v>tong;</v>
      </c>
      <c r="L3" s="35" t="s">
        <v>185</v>
      </c>
      <c r="M3" s="39">
        <f xml:space="preserve"> IFERROR( HEX2DEC(RIGHT(L3,4)), "")</f>
        <v>769</v>
      </c>
      <c r="N3" s="39" t="str">
        <f xml:space="preserve"> IFERROR( _xlfn.CONCAT("o", _xlfn.UNICHAR(HEX2DEC(RIGHT(L3,4)))), "")</f>
        <v>ó</v>
      </c>
      <c r="O3" s="39" t="str">
        <f xml:space="preserve"> IFERROR( _xlfn.CONCAT("t", "o", _xlfn.UNICHAR(HEX2DEC(RIGHT(L3,4))), "ng"), "")</f>
        <v>tóng</v>
      </c>
    </row>
    <row r="4" spans="2:15" ht="57.75">
      <c r="B4" s="47">
        <v>2</v>
      </c>
      <c r="C4" s="45">
        <v>53</v>
      </c>
      <c r="D4" s="48" t="s">
        <v>36</v>
      </c>
      <c r="E4" s="48" t="s">
        <v>11</v>
      </c>
      <c r="F4" s="50" t="s">
        <v>41</v>
      </c>
      <c r="G4" s="43" t="s">
        <v>9</v>
      </c>
      <c r="H4" s="49" t="s">
        <v>48</v>
      </c>
      <c r="I4" s="49" t="str">
        <f xml:space="preserve"> IFERROR( _xlfn.CONCAT("t", "o", _xlfn.UNICHAR(HEX2DEC(RIGHT("U+0301",4))), "ng"), "")</f>
        <v>tóng</v>
      </c>
      <c r="J4" s="49" t="str">
        <f xml:space="preserve"> _xlfn.CONCAT("tong", F4)</f>
        <v>tong\</v>
      </c>
      <c r="L4" s="35" t="s">
        <v>186</v>
      </c>
      <c r="M4" s="39">
        <f t="shared" ref="M4:M10" si="0" xml:space="preserve"> IFERROR( HEX2DEC(RIGHT(L4,4)), "")</f>
        <v>768</v>
      </c>
      <c r="N4" s="39" t="str">
        <f t="shared" ref="N4:N10" si="1" xml:space="preserve"> IFERROR( _xlfn.CONCAT("o", _xlfn.UNICHAR(HEX2DEC(RIGHT(L4,4)))), "")</f>
        <v>ò</v>
      </c>
      <c r="O4" s="39" t="str">
        <f t="shared" ref="O4:O10" si="2" xml:space="preserve"> IFERROR( _xlfn.CONCAT("t", "o", _xlfn.UNICHAR(HEX2DEC(RIGHT(L4,4))), "ng"), "")</f>
        <v>tòng</v>
      </c>
    </row>
    <row r="5" spans="2:15" ht="57.75">
      <c r="B5" s="47">
        <v>3</v>
      </c>
      <c r="C5" s="45">
        <v>21</v>
      </c>
      <c r="D5" s="44" t="s">
        <v>18</v>
      </c>
      <c r="E5" s="44" t="s">
        <v>17</v>
      </c>
      <c r="F5" s="50" t="s">
        <v>40</v>
      </c>
      <c r="G5" s="43" t="s">
        <v>19</v>
      </c>
      <c r="H5" s="49" t="s">
        <v>50</v>
      </c>
      <c r="I5" s="49" t="str">
        <f xml:space="preserve"> IFERROR( _xlfn.CONCAT("t", "o", _xlfn.UNICHAR(HEX2DEC(RIGHT("U+0300",4))), "ng"), "")</f>
        <v>tòng</v>
      </c>
      <c r="J5" s="49" t="str">
        <f xml:space="preserve"> _xlfn.CONCAT("tong", F5)</f>
        <v>tong_</v>
      </c>
      <c r="L5" s="36" t="s">
        <v>121</v>
      </c>
      <c r="M5" s="39">
        <f t="shared" si="0"/>
        <v>781</v>
      </c>
      <c r="N5" s="39" t="str">
        <f t="shared" si="1"/>
        <v>o̍</v>
      </c>
      <c r="O5" s="39" t="str">
        <f t="shared" si="2"/>
        <v>to̍ng</v>
      </c>
    </row>
    <row r="6" spans="2:15" ht="57.75">
      <c r="B6" s="47">
        <v>4</v>
      </c>
      <c r="C6" s="45">
        <v>32</v>
      </c>
      <c r="D6" s="44" t="s">
        <v>6</v>
      </c>
      <c r="E6" s="44" t="s">
        <v>5</v>
      </c>
      <c r="F6" s="50" t="s">
        <v>43</v>
      </c>
      <c r="G6" s="43" t="s">
        <v>7</v>
      </c>
      <c r="H6" s="49" t="s">
        <v>47</v>
      </c>
      <c r="I6" s="49" t="str">
        <f xml:space="preserve"> IFERROR( _xlfn.CONCAT("t", "o", "k"), "")</f>
        <v>tok</v>
      </c>
      <c r="J6" s="49" t="str">
        <f xml:space="preserve"> _xlfn.CONCAT("tok", F6)</f>
        <v>tok[</v>
      </c>
      <c r="L6" s="35" t="s">
        <v>120</v>
      </c>
      <c r="M6" s="39">
        <f t="shared" si="0"/>
        <v>770</v>
      </c>
      <c r="N6" s="39" t="str">
        <f t="shared" si="1"/>
        <v>ô</v>
      </c>
      <c r="O6" s="39" t="str">
        <f t="shared" si="2"/>
        <v>tông</v>
      </c>
    </row>
    <row r="7" spans="2:15" ht="57.75">
      <c r="B7" s="47">
        <v>5</v>
      </c>
      <c r="C7" s="45">
        <v>13</v>
      </c>
      <c r="D7" s="44" t="s">
        <v>14</v>
      </c>
      <c r="E7" s="44" t="s">
        <v>13</v>
      </c>
      <c r="F7" s="50" t="s">
        <v>42</v>
      </c>
      <c r="G7" s="43" t="s">
        <v>15</v>
      </c>
      <c r="H7" s="49" t="s">
        <v>49</v>
      </c>
      <c r="I7" s="49" t="str">
        <f xml:space="preserve"> IFERROR( _xlfn.CONCAT("t", "o", _xlfn.UNICHAR(HEX2DEC(RIGHT("U+0302",4))), "ng"), "")</f>
        <v>tông</v>
      </c>
      <c r="J7" s="49" t="str">
        <f t="shared" ref="J7:J8" si="3" xml:space="preserve"> _xlfn.CONCAT("tong", F7)</f>
        <v>tong/</v>
      </c>
      <c r="L7" s="35" t="s">
        <v>177</v>
      </c>
      <c r="M7" s="39">
        <f t="shared" si="0"/>
        <v>780</v>
      </c>
      <c r="N7" s="39" t="str">
        <f t="shared" si="1"/>
        <v>ǒ</v>
      </c>
      <c r="O7" s="39" t="str">
        <f t="shared" si="2"/>
        <v>tǒng</v>
      </c>
    </row>
    <row r="8" spans="2:15" ht="57.75">
      <c r="B8" s="47">
        <v>7</v>
      </c>
      <c r="C8" s="45">
        <v>22</v>
      </c>
      <c r="D8" s="48" t="s">
        <v>22</v>
      </c>
      <c r="E8" s="48" t="s">
        <v>21</v>
      </c>
      <c r="F8" s="50" t="s">
        <v>39</v>
      </c>
      <c r="G8" s="43" t="s">
        <v>23</v>
      </c>
      <c r="H8" s="49" t="s">
        <v>205</v>
      </c>
      <c r="I8" s="49" t="str">
        <f xml:space="preserve"> IFERROR( _xlfn.CONCAT("t", "o", _xlfn.UNICHAR(HEX2DEC(RIGHT("U+0304",4))), "ng"), "")</f>
        <v>tōng</v>
      </c>
      <c r="J8" s="49" t="str">
        <f t="shared" si="3"/>
        <v>tong-</v>
      </c>
      <c r="L8" s="35" t="s">
        <v>178</v>
      </c>
      <c r="M8" s="39">
        <f t="shared" si="0"/>
        <v>772</v>
      </c>
      <c r="N8" s="39" t="str">
        <f t="shared" si="1"/>
        <v>ō</v>
      </c>
      <c r="O8" s="39" t="str">
        <f xml:space="preserve"> IFERROR( _xlfn.CONCAT("t", "o", _xlfn.UNICHAR(HEX2DEC(RIGHT("U+0304",4))), "ng"), "")</f>
        <v>tōng</v>
      </c>
    </row>
    <row r="9" spans="2:15" ht="57.75">
      <c r="B9" s="47">
        <v>8</v>
      </c>
      <c r="C9" s="45">
        <v>121</v>
      </c>
      <c r="D9" s="44" t="s">
        <v>2</v>
      </c>
      <c r="E9" s="44" t="s">
        <v>1</v>
      </c>
      <c r="F9" s="50" t="s">
        <v>44</v>
      </c>
      <c r="G9" s="43" t="s">
        <v>3</v>
      </c>
      <c r="H9" s="49" t="s">
        <v>206</v>
      </c>
      <c r="I9" s="49" t="str">
        <f xml:space="preserve"> IFERROR( _xlfn.CONCAT("t", "o", _xlfn.UNICHAR(HEX2DEC(RIGHT("U+030D",4))), "k"), "")</f>
        <v>to̍k</v>
      </c>
      <c r="J9" s="49" t="str">
        <f xml:space="preserve"> _xlfn.CONCAT("tok", F9)</f>
        <v>tok]</v>
      </c>
      <c r="L9" s="35" t="s">
        <v>210</v>
      </c>
      <c r="M9" s="39">
        <f t="shared" si="0"/>
        <v>781</v>
      </c>
      <c r="N9" s="39" t="str">
        <f t="shared" si="1"/>
        <v>o̍</v>
      </c>
      <c r="O9" s="39" t="str">
        <f t="shared" si="2"/>
        <v>to̍ng</v>
      </c>
    </row>
    <row r="10" spans="2:15" ht="57.75">
      <c r="B10" s="47">
        <v>0</v>
      </c>
      <c r="C10" s="45">
        <v>2</v>
      </c>
      <c r="D10" s="44" t="s">
        <v>207</v>
      </c>
      <c r="E10" s="44" t="s">
        <v>208</v>
      </c>
      <c r="F10" s="50">
        <v>7</v>
      </c>
      <c r="G10" s="43" t="s">
        <v>209</v>
      </c>
      <c r="H10" s="49" t="s">
        <v>211</v>
      </c>
      <c r="I10" s="49" t="str">
        <f xml:space="preserve"> IFERROR( _xlfn.CONCAT("a", _xlfn.UNICHAR(HEX2DEC(RIGHT("U+030A",4))), "h"), "")</f>
        <v>åh</v>
      </c>
      <c r="J10" s="49" t="str">
        <f xml:space="preserve"> _xlfn.CONCAT("a", F10)</f>
        <v>a7</v>
      </c>
      <c r="L10" s="35" t="s">
        <v>122</v>
      </c>
      <c r="M10" s="39">
        <f t="shared" si="0"/>
        <v>779</v>
      </c>
      <c r="N10" s="39" t="str">
        <f t="shared" si="1"/>
        <v>ő</v>
      </c>
      <c r="O10" s="39" t="str">
        <f t="shared" si="2"/>
        <v>tőng</v>
      </c>
    </row>
    <row r="14" spans="2:15" ht="57.75">
      <c r="B14" s="47">
        <v>6</v>
      </c>
      <c r="C14" s="45"/>
      <c r="D14" s="44" t="s">
        <v>212</v>
      </c>
      <c r="E14" s="44"/>
      <c r="F14" s="50"/>
      <c r="G14" s="43" t="s">
        <v>23</v>
      </c>
      <c r="H14" s="49"/>
      <c r="I14" s="49" t="str">
        <f xml:space="preserve"> IFERROR( _xlfn.CONCAT("t", "o", _xlfn.UNICHAR(HEX2DEC(RIGHT("U+030C",4))), "ng"), "")</f>
        <v>tǒng</v>
      </c>
      <c r="J14" s="49"/>
    </row>
    <row r="15" spans="2:15" ht="57.75">
      <c r="B15" s="47">
        <v>9</v>
      </c>
      <c r="C15" s="45"/>
      <c r="D15" s="57" t="s">
        <v>213</v>
      </c>
      <c r="E15" s="44"/>
      <c r="F15" s="50"/>
      <c r="G15" s="43"/>
      <c r="H15" s="49"/>
      <c r="I15" s="49" t="str">
        <f xml:space="preserve"> IFERROR( _xlfn.CONCAT("t", "o", _xlfn.UNICHAR(HEX2DEC(RIGHT("U+030B",4))), "ng"), "")</f>
        <v>tőng</v>
      </c>
      <c r="J15" s="49"/>
    </row>
    <row r="18" spans="2:10" ht="57.75" outlineLevel="1">
      <c r="B18" s="9">
        <v>4</v>
      </c>
      <c r="C18" s="10">
        <v>53</v>
      </c>
      <c r="D18" s="11" t="s">
        <v>8</v>
      </c>
      <c r="E18" s="11"/>
      <c r="F18" s="10"/>
      <c r="G18" s="15" t="s">
        <v>9</v>
      </c>
      <c r="H18" s="15"/>
      <c r="I18" s="11" t="str">
        <f xml:space="preserve"> "dong" &amp; J18</f>
        <v>dong6</v>
      </c>
      <c r="J18" s="10">
        <v>6</v>
      </c>
    </row>
  </sheetData>
  <mergeCells count="1">
    <mergeCell ref="H2:I2"/>
  </mergeCells>
  <phoneticPr fontId="1" type="noConversion"/>
  <hyperlinks>
    <hyperlink ref="L3" r:id="rId1" display="https://zi-hi.com/sp/uni/0301" xr:uid="{0A4706D1-84DC-4182-A96A-35027C3F443C}"/>
    <hyperlink ref="L4" r:id="rId2" display="https://zi-hi.com/sp/uni/0300" xr:uid="{CA7CE6B9-ACB2-4BD4-8CCD-9F323F16DB19}"/>
    <hyperlink ref="L6" r:id="rId3" display="https://zi-hi.com/sp/uni/0302" xr:uid="{F51ED1B0-F464-4664-949A-2BF6E8D92207}"/>
    <hyperlink ref="L7" r:id="rId4" display="https://zi-hi.com/sp/uni/030C" xr:uid="{A13388BA-C8A0-49CD-AD7D-92E78949E725}"/>
    <hyperlink ref="L8" r:id="rId5" display="https://zi-hi.com/sp/uni/0304" xr:uid="{7DCF3A33-F3D8-4D15-8566-6580CE02AB86}"/>
    <hyperlink ref="L9" r:id="rId6" display="https://zi-hi.com/sp/uni/030D" xr:uid="{89C45CD8-4919-45C7-BEF4-7CAB5797EF54}"/>
    <hyperlink ref="L10" r:id="rId7" display="https://zi-hi.com/sp/uni/030B" xr:uid="{EC0523CB-79C1-4D03-88B1-0D58C6FCDA18}"/>
  </hyperlinks>
  <pageMargins left="0.7" right="0.7" top="0.75" bottom="0.75" header="0.3" footer="0.3"/>
  <pageSetup paperSize="9" orientation="portrait" horizontalDpi="200" verticalDpi="200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74A8B-8D3F-4AFC-B56E-E3C6E782C4A4}">
  <dimension ref="B2:L18"/>
  <sheetViews>
    <sheetView showGridLines="0" workbookViewId="0">
      <selection activeCell="B3" sqref="B3:B9"/>
    </sheetView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0" width="14.375" customWidth="1"/>
    <col min="12" max="12" width="15.375" customWidth="1"/>
  </cols>
  <sheetData>
    <row r="2" spans="2:12" ht="25.5">
      <c r="B2" s="83" t="s">
        <v>33</v>
      </c>
      <c r="C2" s="84"/>
      <c r="D2" s="85"/>
      <c r="E2" s="14" t="s">
        <v>32</v>
      </c>
      <c r="F2" s="14" t="s">
        <v>31</v>
      </c>
      <c r="G2" s="13" t="s">
        <v>30</v>
      </c>
      <c r="H2" s="13" t="s">
        <v>27</v>
      </c>
      <c r="I2" s="14" t="s">
        <v>29</v>
      </c>
      <c r="J2" s="13" t="s">
        <v>28</v>
      </c>
    </row>
    <row r="3" spans="2:12" ht="65.25">
      <c r="B3" s="41" t="s">
        <v>26</v>
      </c>
      <c r="C3" s="18" t="s">
        <v>46</v>
      </c>
      <c r="D3" s="16" t="str">
        <f xml:space="preserve"> "tong" &amp; I3</f>
        <v>tong1</v>
      </c>
      <c r="E3" s="12" t="s">
        <v>25</v>
      </c>
      <c r="F3" s="12" t="s">
        <v>24</v>
      </c>
      <c r="G3" s="7">
        <v>44</v>
      </c>
      <c r="H3" s="5" t="s">
        <v>4</v>
      </c>
      <c r="I3" s="7">
        <v>1</v>
      </c>
      <c r="J3" s="6">
        <v>1</v>
      </c>
      <c r="L3" s="16" t="s">
        <v>192</v>
      </c>
    </row>
    <row r="4" spans="2:12" ht="65.25">
      <c r="B4" s="42" t="s">
        <v>23</v>
      </c>
      <c r="C4" s="19"/>
      <c r="D4" s="17" t="str">
        <f t="shared" ref="D4:D7" si="0" xml:space="preserve"> "tong" &amp; I4</f>
        <v>tong7</v>
      </c>
      <c r="E4" s="4" t="s">
        <v>22</v>
      </c>
      <c r="F4" s="4" t="s">
        <v>21</v>
      </c>
      <c r="G4" s="3">
        <v>22</v>
      </c>
      <c r="H4" s="1" t="s">
        <v>20</v>
      </c>
      <c r="I4" s="3">
        <v>7</v>
      </c>
      <c r="J4" s="2">
        <v>6</v>
      </c>
      <c r="L4" s="17" t="s">
        <v>193</v>
      </c>
    </row>
    <row r="5" spans="2:12" ht="65.25">
      <c r="B5" s="41" t="s">
        <v>19</v>
      </c>
      <c r="C5" s="18"/>
      <c r="D5" s="16" t="str">
        <f t="shared" si="0"/>
        <v>tong3</v>
      </c>
      <c r="E5" s="12" t="s">
        <v>18</v>
      </c>
      <c r="F5" s="12" t="s">
        <v>17</v>
      </c>
      <c r="G5" s="7">
        <v>21</v>
      </c>
      <c r="H5" s="5" t="s">
        <v>16</v>
      </c>
      <c r="I5" s="7">
        <v>3</v>
      </c>
      <c r="J5" s="6">
        <v>5</v>
      </c>
      <c r="L5" s="16" t="s">
        <v>4</v>
      </c>
    </row>
    <row r="6" spans="2:12" ht="65.25">
      <c r="B6" s="42" t="s">
        <v>9</v>
      </c>
      <c r="C6" s="19"/>
      <c r="D6" s="17" t="str">
        <f xml:space="preserve"> "tong" &amp; I6</f>
        <v>tong2</v>
      </c>
      <c r="E6" s="4" t="s">
        <v>36</v>
      </c>
      <c r="F6" s="4" t="s">
        <v>11</v>
      </c>
      <c r="G6" s="3">
        <v>53</v>
      </c>
      <c r="H6" s="1" t="s">
        <v>10</v>
      </c>
      <c r="I6" s="3">
        <v>2</v>
      </c>
      <c r="J6" s="2">
        <v>3</v>
      </c>
      <c r="L6" s="17" t="s">
        <v>194</v>
      </c>
    </row>
    <row r="7" spans="2:12" ht="65.25">
      <c r="B7" s="41" t="s">
        <v>15</v>
      </c>
      <c r="C7" s="18"/>
      <c r="D7" s="16" t="str">
        <f t="shared" si="0"/>
        <v>tong5</v>
      </c>
      <c r="E7" s="12" t="s">
        <v>14</v>
      </c>
      <c r="F7" s="12" t="s">
        <v>13</v>
      </c>
      <c r="G7" s="7">
        <v>13</v>
      </c>
      <c r="H7" s="5" t="s">
        <v>12</v>
      </c>
      <c r="I7" s="7">
        <v>5</v>
      </c>
      <c r="J7" s="6">
        <v>2</v>
      </c>
      <c r="L7" s="16" t="s">
        <v>195</v>
      </c>
    </row>
    <row r="8" spans="2:12" ht="65.25">
      <c r="B8" s="42" t="s">
        <v>7</v>
      </c>
      <c r="C8" s="19"/>
      <c r="D8" s="17" t="s">
        <v>34</v>
      </c>
      <c r="E8" s="4" t="s">
        <v>6</v>
      </c>
      <c r="F8" s="4" t="s">
        <v>5</v>
      </c>
      <c r="G8" s="3">
        <v>32</v>
      </c>
      <c r="H8" s="1" t="s">
        <v>4</v>
      </c>
      <c r="I8" s="3">
        <v>4</v>
      </c>
      <c r="J8" s="2">
        <v>7</v>
      </c>
      <c r="L8" s="17" t="s">
        <v>196</v>
      </c>
    </row>
    <row r="9" spans="2:12" ht="65.25">
      <c r="B9" s="41" t="s">
        <v>3</v>
      </c>
      <c r="C9" s="18"/>
      <c r="D9" s="16" t="s">
        <v>35</v>
      </c>
      <c r="E9" s="12" t="s">
        <v>2</v>
      </c>
      <c r="F9" s="12" t="s">
        <v>1</v>
      </c>
      <c r="G9" s="7">
        <v>121</v>
      </c>
      <c r="H9" s="5" t="s">
        <v>0</v>
      </c>
      <c r="I9" s="7">
        <v>8</v>
      </c>
      <c r="J9" s="6">
        <v>8</v>
      </c>
      <c r="L9" s="16" t="s">
        <v>197</v>
      </c>
    </row>
    <row r="10" spans="2:12">
      <c r="L10" t="s">
        <v>198</v>
      </c>
    </row>
    <row r="18" spans="2:12" ht="57.75" outlineLevel="1">
      <c r="B18" s="15" t="s">
        <v>9</v>
      </c>
      <c r="C18" s="15"/>
      <c r="D18" s="11" t="str">
        <f xml:space="preserve"> "dong" &amp; I18</f>
        <v>dong6</v>
      </c>
      <c r="E18" s="11" t="s">
        <v>8</v>
      </c>
      <c r="F18" s="11"/>
      <c r="G18" s="10">
        <v>53</v>
      </c>
      <c r="H18" s="8" t="s">
        <v>4</v>
      </c>
      <c r="I18" s="10">
        <v>6</v>
      </c>
      <c r="J18" s="9">
        <v>4</v>
      </c>
      <c r="L18" s="11"/>
    </row>
  </sheetData>
  <mergeCells count="1">
    <mergeCell ref="B2:D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723BE-64D2-4E8C-B115-C260854DB41D}">
  <dimension ref="B2:R18"/>
  <sheetViews>
    <sheetView showGridLines="0" workbookViewId="0">
      <selection activeCell="C11" sqref="C11"/>
    </sheetView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1" width="15" customWidth="1"/>
    <col min="13" max="13" width="15.375" customWidth="1"/>
  </cols>
  <sheetData>
    <row r="2" spans="2:18" ht="25.5">
      <c r="B2" s="83" t="s">
        <v>33</v>
      </c>
      <c r="C2" s="84"/>
      <c r="D2" s="85"/>
      <c r="E2" s="14" t="s">
        <v>32</v>
      </c>
      <c r="F2" s="14" t="s">
        <v>31</v>
      </c>
      <c r="G2" s="13" t="s">
        <v>30</v>
      </c>
      <c r="H2" s="13" t="s">
        <v>37</v>
      </c>
      <c r="I2" s="13" t="s">
        <v>199</v>
      </c>
      <c r="J2" s="14" t="s">
        <v>29</v>
      </c>
      <c r="K2" s="13" t="s">
        <v>27</v>
      </c>
    </row>
    <row r="3" spans="2:18" ht="57.75">
      <c r="B3" s="43" t="s">
        <v>26</v>
      </c>
      <c r="C3" s="49" t="str">
        <f xml:space="preserve"> IFERROR( _xlfn.CONCAT("t", "o", _xlfn.UNICHAR(HEX2DEC(RIGHT("U+0304",4))), "ng"), "")</f>
        <v>tōng</v>
      </c>
      <c r="D3" s="49" t="str">
        <f t="shared" ref="D3:D9" si="0" xml:space="preserve"> "tong" &amp; I3</f>
        <v>tong1</v>
      </c>
      <c r="E3" s="44" t="s">
        <v>25</v>
      </c>
      <c r="F3" s="44" t="s">
        <v>24</v>
      </c>
      <c r="G3" s="45">
        <v>44</v>
      </c>
      <c r="H3" s="50" t="s">
        <v>200</v>
      </c>
      <c r="I3" s="47">
        <v>1</v>
      </c>
      <c r="J3" s="45">
        <v>1</v>
      </c>
      <c r="K3" s="46" t="s">
        <v>4</v>
      </c>
      <c r="M3" s="16" t="s">
        <v>192</v>
      </c>
      <c r="O3" s="35" t="s">
        <v>185</v>
      </c>
      <c r="P3" s="39">
        <f xml:space="preserve"> IFERROR( HEX2DEC(RIGHT(O3,4)), "")</f>
        <v>769</v>
      </c>
      <c r="Q3" s="39" t="str">
        <f xml:space="preserve"> IFERROR( _xlfn.CONCAT("o", _xlfn.UNICHAR(HEX2DEC(RIGHT(O3,4)))), "")</f>
        <v>ó</v>
      </c>
      <c r="R3" s="39" t="str">
        <f xml:space="preserve"> IFERROR( _xlfn.CONCAT("t", "o", _xlfn.UNICHAR(HEX2DEC(RIGHT(O3,4))), "ng"), "")</f>
        <v>tóng</v>
      </c>
    </row>
    <row r="4" spans="2:18" ht="57.75">
      <c r="B4" s="43" t="s">
        <v>15</v>
      </c>
      <c r="C4" s="49" t="str">
        <f xml:space="preserve"> IFERROR( _xlfn.CONCAT("t", "o", _xlfn.UNICHAR(HEX2DEC(RIGHT("U+0301",4))), "ng"), "")</f>
        <v>tóng</v>
      </c>
      <c r="D4" s="49" t="str">
        <f t="shared" si="0"/>
        <v>tong2</v>
      </c>
      <c r="E4" s="44" t="s">
        <v>14</v>
      </c>
      <c r="F4" s="44" t="s">
        <v>13</v>
      </c>
      <c r="G4" s="45">
        <v>13</v>
      </c>
      <c r="H4" s="50" t="s">
        <v>42</v>
      </c>
      <c r="I4" s="47">
        <v>2</v>
      </c>
      <c r="J4" s="45">
        <v>5</v>
      </c>
      <c r="K4" s="46" t="s">
        <v>12</v>
      </c>
      <c r="M4" s="17" t="s">
        <v>193</v>
      </c>
      <c r="O4" s="35" t="s">
        <v>186</v>
      </c>
      <c r="P4" s="39">
        <f t="shared" ref="P4:P10" si="1" xml:space="preserve"> IFERROR( HEX2DEC(RIGHT(O4,4)), "")</f>
        <v>768</v>
      </c>
      <c r="Q4" s="39" t="str">
        <f t="shared" ref="Q4:Q10" si="2" xml:space="preserve"> IFERROR( _xlfn.CONCAT("o", _xlfn.UNICHAR(HEX2DEC(RIGHT(O4,4)))), "")</f>
        <v>ò</v>
      </c>
      <c r="R4" s="39" t="str">
        <f t="shared" ref="R4:R10" si="3" xml:space="preserve"> IFERROR( _xlfn.CONCAT("t", "o", _xlfn.UNICHAR(HEX2DEC(RIGHT(O4,4))), "ng"), "")</f>
        <v>tòng</v>
      </c>
    </row>
    <row r="5" spans="2:18" ht="57.75">
      <c r="B5" s="43" t="s">
        <v>9</v>
      </c>
      <c r="C5" s="49" t="str">
        <f xml:space="preserve"> IFERROR( _xlfn.CONCAT("t", "o", _xlfn.UNICHAR(HEX2DEC(RIGHT("U+030C",4))), "ng"), "")</f>
        <v>tǒng</v>
      </c>
      <c r="D5" s="49" t="str">
        <f t="shared" si="0"/>
        <v>tong3</v>
      </c>
      <c r="E5" s="48" t="s">
        <v>36</v>
      </c>
      <c r="F5" s="48" t="s">
        <v>11</v>
      </c>
      <c r="G5" s="45">
        <v>53</v>
      </c>
      <c r="H5" s="50" t="s">
        <v>41</v>
      </c>
      <c r="I5" s="47">
        <v>3</v>
      </c>
      <c r="J5" s="45">
        <v>2</v>
      </c>
      <c r="K5" s="46" t="s">
        <v>10</v>
      </c>
      <c r="M5" s="16" t="s">
        <v>4</v>
      </c>
      <c r="O5" s="36" t="s">
        <v>53</v>
      </c>
      <c r="P5" s="39" t="str">
        <f t="shared" si="1"/>
        <v/>
      </c>
      <c r="Q5" s="39" t="str">
        <f t="shared" si="2"/>
        <v/>
      </c>
      <c r="R5" s="39" t="str">
        <f t="shared" si="3"/>
        <v/>
      </c>
    </row>
    <row r="6" spans="2:18" ht="57.75">
      <c r="B6" s="43" t="s">
        <v>19</v>
      </c>
      <c r="C6" s="49" t="str">
        <f xml:space="preserve"> IFERROR( _xlfn.CONCAT("t", "o", _xlfn.UNICHAR(HEX2DEC(RIGHT("U+0300",4))), "ng"), "")</f>
        <v>tòng</v>
      </c>
      <c r="D6" s="49" t="str">
        <f t="shared" si="0"/>
        <v>tong5</v>
      </c>
      <c r="E6" s="44" t="s">
        <v>18</v>
      </c>
      <c r="F6" s="44" t="s">
        <v>17</v>
      </c>
      <c r="G6" s="45">
        <v>21</v>
      </c>
      <c r="H6" s="50" t="s">
        <v>40</v>
      </c>
      <c r="I6" s="47">
        <v>5</v>
      </c>
      <c r="J6" s="45">
        <v>3</v>
      </c>
      <c r="K6" s="46" t="s">
        <v>16</v>
      </c>
      <c r="M6" s="17" t="s">
        <v>194</v>
      </c>
      <c r="O6" s="35" t="s">
        <v>120</v>
      </c>
      <c r="P6" s="39">
        <f t="shared" si="1"/>
        <v>770</v>
      </c>
      <c r="Q6" s="39" t="str">
        <f t="shared" si="2"/>
        <v>ô</v>
      </c>
      <c r="R6" s="39" t="str">
        <f t="shared" si="3"/>
        <v>tông</v>
      </c>
    </row>
    <row r="7" spans="2:18" ht="57.75">
      <c r="B7" s="43" t="s">
        <v>23</v>
      </c>
      <c r="C7" s="49" t="str">
        <f xml:space="preserve"> IFERROR( _xlfn.CONCAT("t", "o", _xlfn.UNICHAR(HEX2DEC(RIGHT("U+0302",4))), "ng"), "")</f>
        <v>tông</v>
      </c>
      <c r="D7" s="49" t="str">
        <f t="shared" si="0"/>
        <v>tong6</v>
      </c>
      <c r="E7" s="48" t="s">
        <v>22</v>
      </c>
      <c r="F7" s="48" t="s">
        <v>21</v>
      </c>
      <c r="G7" s="45">
        <v>22</v>
      </c>
      <c r="H7" s="50" t="s">
        <v>39</v>
      </c>
      <c r="I7" s="47">
        <v>6</v>
      </c>
      <c r="J7" s="45">
        <v>7</v>
      </c>
      <c r="K7" s="46" t="s">
        <v>20</v>
      </c>
      <c r="M7" s="16" t="s">
        <v>195</v>
      </c>
      <c r="O7" s="35" t="s">
        <v>177</v>
      </c>
      <c r="P7" s="39">
        <f t="shared" si="1"/>
        <v>780</v>
      </c>
      <c r="Q7" s="39" t="str">
        <f t="shared" si="2"/>
        <v>ǒ</v>
      </c>
      <c r="R7" s="39" t="str">
        <f t="shared" si="3"/>
        <v>tǒng</v>
      </c>
    </row>
    <row r="8" spans="2:18" ht="57.75">
      <c r="B8" s="43" t="s">
        <v>7</v>
      </c>
      <c r="C8" s="49" t="str">
        <f xml:space="preserve"> IFERROR( _xlfn.CONCAT("t", "o", _xlfn.UNICHAR(HEX2DEC(RIGHT("U+0304",4))), "k"), "")</f>
        <v>tōk</v>
      </c>
      <c r="D8" s="49" t="str">
        <f t="shared" si="0"/>
        <v>tong7</v>
      </c>
      <c r="E8" s="48" t="s">
        <v>6</v>
      </c>
      <c r="F8" s="48" t="s">
        <v>5</v>
      </c>
      <c r="G8" s="45">
        <v>32</v>
      </c>
      <c r="H8" s="50" t="s">
        <v>43</v>
      </c>
      <c r="I8" s="47">
        <v>7</v>
      </c>
      <c r="J8" s="45">
        <v>4</v>
      </c>
      <c r="K8" s="46" t="s">
        <v>4</v>
      </c>
      <c r="M8" s="17" t="s">
        <v>196</v>
      </c>
      <c r="O8" s="35" t="s">
        <v>178</v>
      </c>
      <c r="P8" s="39">
        <f t="shared" si="1"/>
        <v>772</v>
      </c>
      <c r="Q8" s="39" t="str">
        <f t="shared" si="2"/>
        <v>ō</v>
      </c>
      <c r="R8" s="39" t="str">
        <f xml:space="preserve"> IFERROR( _xlfn.CONCAT("t", "o", _xlfn.UNICHAR(HEX2DEC(RIGHT("U+0304",4))), "ng"), "")</f>
        <v>tōng</v>
      </c>
    </row>
    <row r="9" spans="2:18" ht="57.75">
      <c r="B9" s="43" t="s">
        <v>3</v>
      </c>
      <c r="C9" s="49" t="str">
        <f xml:space="preserve"> IFERROR( _xlfn.CONCAT("t", "o", _xlfn.UNICHAR(HEX2DEC(RIGHT("U+0301",4))), "k"), "")</f>
        <v>tók</v>
      </c>
      <c r="D9" s="49" t="str">
        <f t="shared" si="0"/>
        <v>tong8</v>
      </c>
      <c r="E9" s="44" t="s">
        <v>2</v>
      </c>
      <c r="F9" s="44" t="s">
        <v>1</v>
      </c>
      <c r="G9" s="45">
        <v>121</v>
      </c>
      <c r="H9" s="50" t="s">
        <v>44</v>
      </c>
      <c r="I9" s="47">
        <v>8</v>
      </c>
      <c r="J9" s="45">
        <v>8</v>
      </c>
      <c r="K9" s="46" t="s">
        <v>0</v>
      </c>
      <c r="M9" s="16" t="s">
        <v>197</v>
      </c>
      <c r="O9" s="35" t="s">
        <v>121</v>
      </c>
      <c r="P9" s="39">
        <f t="shared" si="1"/>
        <v>781</v>
      </c>
      <c r="Q9" s="39" t="str">
        <f t="shared" si="2"/>
        <v>o̍</v>
      </c>
      <c r="R9" s="39" t="str">
        <f t="shared" si="3"/>
        <v>to̍ng</v>
      </c>
    </row>
    <row r="10" spans="2:18" ht="42">
      <c r="M10" t="s">
        <v>198</v>
      </c>
      <c r="O10" s="35" t="s">
        <v>122</v>
      </c>
      <c r="P10" s="39">
        <f t="shared" si="1"/>
        <v>779</v>
      </c>
      <c r="Q10" s="39" t="str">
        <f t="shared" si="2"/>
        <v>ő</v>
      </c>
      <c r="R10" s="39" t="str">
        <f t="shared" si="3"/>
        <v>tőng</v>
      </c>
    </row>
    <row r="18" spans="2:13" ht="57.75" outlineLevel="1">
      <c r="B18" s="15" t="s">
        <v>9</v>
      </c>
      <c r="C18" s="15"/>
      <c r="D18" s="11" t="str">
        <f xml:space="preserve"> "dong" &amp; J18</f>
        <v>dong6</v>
      </c>
      <c r="E18" s="11" t="s">
        <v>8</v>
      </c>
      <c r="F18" s="11"/>
      <c r="G18" s="10">
        <v>53</v>
      </c>
      <c r="H18" s="10"/>
      <c r="I18" s="9">
        <v>4</v>
      </c>
      <c r="J18" s="10">
        <v>6</v>
      </c>
      <c r="K18" s="8" t="s">
        <v>4</v>
      </c>
      <c r="M18" s="11"/>
    </row>
  </sheetData>
  <mergeCells count="1">
    <mergeCell ref="B2:D2"/>
  </mergeCells>
  <phoneticPr fontId="1" type="noConversion"/>
  <hyperlinks>
    <hyperlink ref="O3" r:id="rId1" display="https://zi-hi.com/sp/uni/0301" xr:uid="{F092E75C-C8D0-48B8-A292-3DC2F44B85AC}"/>
    <hyperlink ref="O4" r:id="rId2" display="https://zi-hi.com/sp/uni/0300" xr:uid="{E1710BC5-4279-4535-9126-EE2877167999}"/>
    <hyperlink ref="O6" r:id="rId3" display="https://zi-hi.com/sp/uni/0302" xr:uid="{B66FC17B-A908-40F7-9A0F-4BA79BCD69B1}"/>
    <hyperlink ref="O7" r:id="rId4" display="https://zi-hi.com/sp/uni/030C" xr:uid="{D42FA3A9-247B-464A-9466-62E1F31ACDF2}"/>
    <hyperlink ref="O8" r:id="rId5" display="https://zi-hi.com/sp/uni/0304" xr:uid="{AE4AB8CC-8DD7-4CAE-8E5E-7B1A59D6EBBB}"/>
    <hyperlink ref="O9" r:id="rId6" display="https://zi-hi.com/sp/uni/030D" xr:uid="{93783542-812A-404B-A549-F62CA5246808}"/>
    <hyperlink ref="O10" r:id="rId7" display="https://zi-hi.com/sp/uni/030B" xr:uid="{1BB8526F-4E34-4DCA-B783-A0AA70BDD52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50C03-4A49-40F3-8140-C9DAF6B05C63}">
  <dimension ref="B2:I18"/>
  <sheetViews>
    <sheetView showGridLines="0" workbookViewId="0">
      <selection activeCell="J3" sqref="J3"/>
    </sheetView>
  </sheetViews>
  <sheetFormatPr defaultRowHeight="16.5" outlineLevelRow="1"/>
  <cols>
    <col min="1" max="1" width="4.125" customWidth="1"/>
    <col min="2" max="2" width="14.75" customWidth="1"/>
    <col min="3" max="5" width="15.375" customWidth="1"/>
    <col min="6" max="6" width="10.5" bestFit="1" customWidth="1"/>
    <col min="7" max="9" width="14.375" customWidth="1"/>
  </cols>
  <sheetData>
    <row r="2" spans="2:9" ht="25.5">
      <c r="B2" s="83" t="s">
        <v>33</v>
      </c>
      <c r="C2" s="85"/>
      <c r="D2" s="14" t="s">
        <v>32</v>
      </c>
      <c r="E2" s="14" t="s">
        <v>31</v>
      </c>
      <c r="F2" s="13" t="s">
        <v>30</v>
      </c>
      <c r="G2" s="13" t="s">
        <v>27</v>
      </c>
      <c r="H2" s="14" t="s">
        <v>29</v>
      </c>
      <c r="I2" s="13" t="s">
        <v>28</v>
      </c>
    </row>
    <row r="3" spans="2:9" ht="65.25">
      <c r="B3" s="18" t="s">
        <v>26</v>
      </c>
      <c r="C3" s="16" t="str">
        <f xml:space="preserve"> "tong" &amp; H3</f>
        <v>tong1</v>
      </c>
      <c r="D3" s="12" t="s">
        <v>25</v>
      </c>
      <c r="E3" s="12" t="s">
        <v>24</v>
      </c>
      <c r="F3" s="7">
        <v>44</v>
      </c>
      <c r="G3" s="5" t="s">
        <v>4</v>
      </c>
      <c r="H3" s="7">
        <v>1</v>
      </c>
      <c r="I3" s="6">
        <v>1</v>
      </c>
    </row>
    <row r="4" spans="2:9" ht="65.25">
      <c r="B4" s="19" t="s">
        <v>23</v>
      </c>
      <c r="C4" s="17" t="str">
        <f t="shared" ref="C4:C7" si="0" xml:space="preserve"> "tong" &amp; H4</f>
        <v>tong7</v>
      </c>
      <c r="D4" s="4" t="s">
        <v>22</v>
      </c>
      <c r="E4" s="4" t="s">
        <v>21</v>
      </c>
      <c r="F4" s="3">
        <v>22</v>
      </c>
      <c r="G4" s="1" t="s">
        <v>20</v>
      </c>
      <c r="H4" s="3">
        <v>7</v>
      </c>
      <c r="I4" s="2">
        <v>6</v>
      </c>
    </row>
    <row r="5" spans="2:9" ht="65.25">
      <c r="B5" s="18" t="s">
        <v>19</v>
      </c>
      <c r="C5" s="16" t="str">
        <f t="shared" si="0"/>
        <v>tong3</v>
      </c>
      <c r="D5" s="12" t="s">
        <v>18</v>
      </c>
      <c r="E5" s="12" t="s">
        <v>17</v>
      </c>
      <c r="F5" s="7">
        <v>21</v>
      </c>
      <c r="G5" s="5" t="s">
        <v>16</v>
      </c>
      <c r="H5" s="7">
        <v>3</v>
      </c>
      <c r="I5" s="6">
        <v>5</v>
      </c>
    </row>
    <row r="6" spans="2:9" ht="65.25">
      <c r="B6" s="19" t="s">
        <v>9</v>
      </c>
      <c r="C6" s="17" t="str">
        <f xml:space="preserve"> "tong" &amp; H6</f>
        <v>tong2</v>
      </c>
      <c r="D6" s="4" t="s">
        <v>36</v>
      </c>
      <c r="E6" s="4" t="s">
        <v>11</v>
      </c>
      <c r="F6" s="3">
        <v>53</v>
      </c>
      <c r="G6" s="1" t="s">
        <v>10</v>
      </c>
      <c r="H6" s="3">
        <v>2</v>
      </c>
      <c r="I6" s="2">
        <v>3</v>
      </c>
    </row>
    <row r="7" spans="2:9" ht="65.25">
      <c r="B7" s="18" t="s">
        <v>15</v>
      </c>
      <c r="C7" s="16" t="str">
        <f t="shared" si="0"/>
        <v>tong5</v>
      </c>
      <c r="D7" s="12" t="s">
        <v>14</v>
      </c>
      <c r="E7" s="12" t="s">
        <v>13</v>
      </c>
      <c r="F7" s="7">
        <v>13</v>
      </c>
      <c r="G7" s="5" t="s">
        <v>12</v>
      </c>
      <c r="H7" s="7">
        <v>5</v>
      </c>
      <c r="I7" s="6">
        <v>2</v>
      </c>
    </row>
    <row r="8" spans="2:9" ht="65.25">
      <c r="B8" s="19" t="s">
        <v>7</v>
      </c>
      <c r="C8" s="17" t="s">
        <v>34</v>
      </c>
      <c r="D8" s="4" t="s">
        <v>6</v>
      </c>
      <c r="E8" s="4" t="s">
        <v>5</v>
      </c>
      <c r="F8" s="3">
        <v>32</v>
      </c>
      <c r="G8" s="1" t="s">
        <v>4</v>
      </c>
      <c r="H8" s="3">
        <v>4</v>
      </c>
      <c r="I8" s="2">
        <v>7</v>
      </c>
    </row>
    <row r="9" spans="2:9" ht="65.25">
      <c r="B9" s="18" t="s">
        <v>3</v>
      </c>
      <c r="C9" s="16" t="s">
        <v>35</v>
      </c>
      <c r="D9" s="12" t="s">
        <v>2</v>
      </c>
      <c r="E9" s="12" t="s">
        <v>1</v>
      </c>
      <c r="F9" s="7">
        <v>121</v>
      </c>
      <c r="G9" s="5" t="s">
        <v>0</v>
      </c>
      <c r="H9" s="7">
        <v>8</v>
      </c>
      <c r="I9" s="6">
        <v>8</v>
      </c>
    </row>
    <row r="18" spans="2:9" ht="57.75" outlineLevel="1">
      <c r="B18" s="15" t="s">
        <v>9</v>
      </c>
      <c r="C18" s="11" t="str">
        <f xml:space="preserve"> "dong" &amp; H18</f>
        <v>dong6</v>
      </c>
      <c r="D18" s="11" t="s">
        <v>8</v>
      </c>
      <c r="E18" s="11"/>
      <c r="F18" s="10">
        <v>53</v>
      </c>
      <c r="G18" s="8" t="s">
        <v>4</v>
      </c>
      <c r="H18" s="10">
        <v>6</v>
      </c>
      <c r="I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6D659-7E1D-42E7-9495-78EC72F6C0D2}">
  <dimension ref="B2:J18"/>
  <sheetViews>
    <sheetView showGridLines="0" topLeftCell="A3" workbookViewId="0">
      <selection activeCell="D2" sqref="D2:J9"/>
    </sheetView>
  </sheetViews>
  <sheetFormatPr defaultRowHeight="16.5" outlineLevelRow="1"/>
  <cols>
    <col min="1" max="1" width="4.125" customWidth="1"/>
    <col min="2" max="2" width="12.875" customWidth="1"/>
    <col min="3" max="3" width="13" customWidth="1"/>
    <col min="4" max="5" width="15.375" customWidth="1"/>
    <col min="6" max="6" width="10.5" bestFit="1" customWidth="1"/>
    <col min="7" max="10" width="14.625" customWidth="1"/>
  </cols>
  <sheetData>
    <row r="2" spans="2:10" ht="25.5">
      <c r="B2" s="83" t="s">
        <v>33</v>
      </c>
      <c r="C2" s="85"/>
      <c r="D2" s="14" t="s">
        <v>32</v>
      </c>
      <c r="E2" s="14" t="s">
        <v>31</v>
      </c>
      <c r="F2" s="13" t="s">
        <v>30</v>
      </c>
      <c r="G2" s="13" t="s">
        <v>37</v>
      </c>
      <c r="H2" s="13" t="s">
        <v>27</v>
      </c>
      <c r="I2" s="14" t="s">
        <v>29</v>
      </c>
      <c r="J2" s="13" t="s">
        <v>28</v>
      </c>
    </row>
    <row r="3" spans="2:10" ht="65.25">
      <c r="B3" s="18" t="s">
        <v>26</v>
      </c>
      <c r="C3" s="29" t="str">
        <f xml:space="preserve"> "tong" &amp; I3</f>
        <v>tong1</v>
      </c>
      <c r="D3" s="12" t="s">
        <v>25</v>
      </c>
      <c r="E3" s="12" t="s">
        <v>24</v>
      </c>
      <c r="F3" s="31">
        <v>44</v>
      </c>
      <c r="G3" s="20" t="s">
        <v>38</v>
      </c>
      <c r="H3" s="26" t="s">
        <v>4</v>
      </c>
      <c r="I3" s="24">
        <v>1</v>
      </c>
      <c r="J3" s="24">
        <v>1</v>
      </c>
    </row>
    <row r="4" spans="2:10" ht="65.25">
      <c r="B4" s="19" t="s">
        <v>23</v>
      </c>
      <c r="C4" s="30" t="str">
        <f t="shared" ref="C4:C7" si="0" xml:space="preserve"> "tong" &amp; I4</f>
        <v>tong7</v>
      </c>
      <c r="D4" s="4" t="s">
        <v>22</v>
      </c>
      <c r="E4" s="4" t="s">
        <v>21</v>
      </c>
      <c r="F4" s="32">
        <v>22</v>
      </c>
      <c r="G4" s="21" t="s">
        <v>39</v>
      </c>
      <c r="H4" s="27" t="s">
        <v>20</v>
      </c>
      <c r="I4" s="25">
        <v>7</v>
      </c>
      <c r="J4" s="25">
        <v>6</v>
      </c>
    </row>
    <row r="5" spans="2:10" ht="65.25">
      <c r="B5" s="18" t="s">
        <v>19</v>
      </c>
      <c r="C5" s="29" t="str">
        <f t="shared" si="0"/>
        <v>tong3</v>
      </c>
      <c r="D5" s="12" t="s">
        <v>18</v>
      </c>
      <c r="E5" s="12" t="s">
        <v>17</v>
      </c>
      <c r="F5" s="31">
        <v>21</v>
      </c>
      <c r="G5" s="20" t="s">
        <v>40</v>
      </c>
      <c r="H5" s="28" t="s">
        <v>16</v>
      </c>
      <c r="I5" s="24">
        <v>3</v>
      </c>
      <c r="J5" s="24">
        <v>5</v>
      </c>
    </row>
    <row r="6" spans="2:10" ht="65.25">
      <c r="B6" s="19" t="s">
        <v>9</v>
      </c>
      <c r="C6" s="30" t="str">
        <f xml:space="preserve"> "tong" &amp; I6</f>
        <v>tong2</v>
      </c>
      <c r="D6" s="4" t="s">
        <v>36</v>
      </c>
      <c r="E6" s="4" t="s">
        <v>11</v>
      </c>
      <c r="F6" s="32">
        <v>53</v>
      </c>
      <c r="G6" s="22" t="s">
        <v>41</v>
      </c>
      <c r="H6" s="27" t="s">
        <v>10</v>
      </c>
      <c r="I6" s="25">
        <v>2</v>
      </c>
      <c r="J6" s="25">
        <v>3</v>
      </c>
    </row>
    <row r="7" spans="2:10" ht="65.25">
      <c r="B7" s="18" t="s">
        <v>15</v>
      </c>
      <c r="C7" s="29" t="str">
        <f t="shared" si="0"/>
        <v>tong5</v>
      </c>
      <c r="D7" s="12" t="s">
        <v>14</v>
      </c>
      <c r="E7" s="12" t="s">
        <v>13</v>
      </c>
      <c r="F7" s="31">
        <v>13</v>
      </c>
      <c r="G7" s="23" t="s">
        <v>42</v>
      </c>
      <c r="H7" s="28" t="s">
        <v>12</v>
      </c>
      <c r="I7" s="24">
        <v>5</v>
      </c>
      <c r="J7" s="24">
        <v>2</v>
      </c>
    </row>
    <row r="8" spans="2:10" ht="65.25">
      <c r="B8" s="19" t="s">
        <v>7</v>
      </c>
      <c r="C8" s="30" t="s">
        <v>34</v>
      </c>
      <c r="D8" s="4" t="s">
        <v>6</v>
      </c>
      <c r="E8" s="4" t="s">
        <v>5</v>
      </c>
      <c r="F8" s="32">
        <v>32</v>
      </c>
      <c r="G8" s="22" t="s">
        <v>43</v>
      </c>
      <c r="H8" s="27" t="s">
        <v>4</v>
      </c>
      <c r="I8" s="25">
        <v>4</v>
      </c>
      <c r="J8" s="25">
        <v>7</v>
      </c>
    </row>
    <row r="9" spans="2:10" ht="65.25">
      <c r="B9" s="18" t="s">
        <v>3</v>
      </c>
      <c r="C9" s="29" t="s">
        <v>35</v>
      </c>
      <c r="D9" s="12" t="s">
        <v>2</v>
      </c>
      <c r="E9" s="12" t="s">
        <v>1</v>
      </c>
      <c r="F9" s="31">
        <v>121</v>
      </c>
      <c r="G9" s="20" t="s">
        <v>44</v>
      </c>
      <c r="H9" s="28" t="s">
        <v>0</v>
      </c>
      <c r="I9" s="24">
        <v>8</v>
      </c>
      <c r="J9" s="24">
        <v>8</v>
      </c>
    </row>
    <row r="18" spans="2:10" ht="57.75" outlineLevel="1">
      <c r="B18" s="15" t="s">
        <v>9</v>
      </c>
      <c r="C18" s="11" t="str">
        <f xml:space="preserve"> "dong" &amp; I18</f>
        <v>dong6</v>
      </c>
      <c r="D18" s="11" t="s">
        <v>8</v>
      </c>
      <c r="E18" s="11"/>
      <c r="F18" s="10">
        <v>53</v>
      </c>
      <c r="G18" s="10"/>
      <c r="H18" s="8" t="s">
        <v>4</v>
      </c>
      <c r="I18" s="10">
        <v>6</v>
      </c>
      <c r="J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聲調符號表</vt:lpstr>
      <vt:lpstr>拚音聲調表（閩拚）</vt:lpstr>
      <vt:lpstr>注音聲調表（閩拚）</vt:lpstr>
      <vt:lpstr>拚音聲調表（閩拚） (溫韻)</vt:lpstr>
      <vt:lpstr>注音聲調表（閩拚） (溫韻)</vt:lpstr>
      <vt:lpstr>注音聲調表（台語音標）</vt:lpstr>
      <vt:lpstr>聲調對照表（台語音標）</vt:lpstr>
      <vt:lpstr>拚音聲調表 (台語音標)</vt:lpstr>
      <vt:lpstr>聲調對照表（閩拚） (2)</vt:lpstr>
      <vt:lpstr>聲調對照表 (3)</vt:lpstr>
      <vt:lpstr>聲調對照表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2025-10-06T14:55:50Z</dcterms:created>
  <dcterms:modified xsi:type="dcterms:W3CDTF">2025-11-24T06:08:42Z</dcterms:modified>
</cp:coreProperties>
</file>