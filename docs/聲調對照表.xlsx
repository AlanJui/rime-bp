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bp\docs\"/>
    </mc:Choice>
  </mc:AlternateContent>
  <xr:revisionPtr revIDLastSave="0" documentId="13_ncr:1_{4E807DFD-47D3-4627-A1ED-D3D6F9BD9D8F}" xr6:coauthVersionLast="47" xr6:coauthVersionMax="47" xr10:uidLastSave="{00000000-0000-0000-0000-000000000000}"/>
  <bookViews>
    <workbookView xWindow="28680" yWindow="-195" windowWidth="38640" windowHeight="15720" xr2:uid="{08BCE876-220B-4617-985F-BC533BEFAD68}"/>
  </bookViews>
  <sheets>
    <sheet name="聲調對照表（閩拚）" sheetId="1" r:id="rId1"/>
    <sheet name="聲調對照表（閩拚） (2)" sheetId="6" r:id="rId2"/>
    <sheet name="聲調對照表 (台語音標)" sheetId="5" r:id="rId3"/>
    <sheet name="工作表1" sheetId="4" r:id="rId4"/>
    <sheet name="聲調對照表 (3)" sheetId="3" r:id="rId5"/>
    <sheet name="聲調對照表 (2)" sheetId="2" r:id="rId6"/>
  </sheets>
  <externalReferences>
    <externalReference r:id="rId7"/>
    <externalReference r:id="rId8"/>
  </externalReferences>
  <definedNames>
    <definedName name="十五音韻母">'[1]十五音-韻母'!$C$5:$C$54</definedName>
    <definedName name="十五音韻母對照表">'[1]十五音-韻母'!$B$5:$R$54</definedName>
    <definedName name="台羅韻母八音反切">'[1]台羅-韻母八音反切'!$R$5:$Y$54</definedName>
    <definedName name="白話字韻母八音反切">'[1]白話字-韻母八音反切'!$R$5:$Y$54</definedName>
    <definedName name="閩拼韻母八音反切">'[1]閩拼-韻母八音反切'!$R$5:$Y$54</definedName>
    <definedName name="聲母碼表">[1]聲母碼!$D$6:$K$22</definedName>
    <definedName name="韻母對照表">[1]韻母對照表!$B$6:$K$105</definedName>
    <definedName name="韻母碼表">[1]韻母碼!$F$5:$M$78</definedName>
    <definedName name="顯示注音輸入">[2]env!$C$10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J4" i="1"/>
  <c r="J5" i="1"/>
  <c r="J6" i="1"/>
  <c r="J7" i="1"/>
  <c r="J3" i="1"/>
  <c r="D18" i="6"/>
  <c r="R10" i="6"/>
  <c r="Q10" i="6"/>
  <c r="P10" i="6"/>
  <c r="R9" i="6"/>
  <c r="Q9" i="6"/>
  <c r="P9" i="6"/>
  <c r="D9" i="6"/>
  <c r="C9" i="6"/>
  <c r="R8" i="6"/>
  <c r="Q8" i="6"/>
  <c r="P8" i="6"/>
  <c r="D8" i="6"/>
  <c r="C8" i="6"/>
  <c r="R7" i="6"/>
  <c r="Q7" i="6"/>
  <c r="P7" i="6"/>
  <c r="D7" i="6"/>
  <c r="C7" i="6"/>
  <c r="R6" i="6"/>
  <c r="Q6" i="6"/>
  <c r="P6" i="6"/>
  <c r="D6" i="6"/>
  <c r="C6" i="6"/>
  <c r="R5" i="6"/>
  <c r="Q5" i="6"/>
  <c r="P5" i="6"/>
  <c r="D5" i="6"/>
  <c r="C5" i="6"/>
  <c r="R4" i="6"/>
  <c r="Q4" i="6"/>
  <c r="P4" i="6"/>
  <c r="D4" i="6"/>
  <c r="C4" i="6"/>
  <c r="R3" i="6"/>
  <c r="Q3" i="6"/>
  <c r="P3" i="6"/>
  <c r="D3" i="6"/>
  <c r="C3" i="6"/>
  <c r="I6" i="1"/>
  <c r="I7" i="1"/>
  <c r="I5" i="1"/>
  <c r="I9" i="1"/>
  <c r="I4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I8" i="1"/>
  <c r="I3" i="1"/>
  <c r="S8" i="4"/>
  <c r="D18" i="5"/>
  <c r="D7" i="5"/>
  <c r="D6" i="5"/>
  <c r="D5" i="5"/>
  <c r="D4" i="5"/>
  <c r="D3" i="5"/>
  <c r="S4" i="4"/>
  <c r="S5" i="4"/>
  <c r="S6" i="4"/>
  <c r="S7" i="4"/>
  <c r="S9" i="4"/>
  <c r="S10" i="4"/>
  <c r="S3" i="4"/>
  <c r="R4" i="4"/>
  <c r="R5" i="4"/>
  <c r="R6" i="4"/>
  <c r="R7" i="4"/>
  <c r="R8" i="4"/>
  <c r="R9" i="4"/>
  <c r="R10" i="4"/>
  <c r="R3" i="4"/>
  <c r="Q4" i="4"/>
  <c r="Q5" i="4"/>
  <c r="Q6" i="4"/>
  <c r="Q7" i="4"/>
  <c r="Q8" i="4"/>
  <c r="Q9" i="4"/>
  <c r="Q10" i="4"/>
  <c r="Q3" i="4"/>
  <c r="M8" i="4"/>
  <c r="M6" i="4"/>
  <c r="M5" i="4"/>
  <c r="C18" i="3"/>
  <c r="C7" i="3"/>
  <c r="C6" i="3"/>
  <c r="C5" i="3"/>
  <c r="C4" i="3"/>
  <c r="C3" i="3"/>
  <c r="C18" i="2"/>
  <c r="C7" i="2"/>
  <c r="C6" i="2"/>
  <c r="C5" i="2"/>
  <c r="C4" i="2"/>
  <c r="C3" i="2"/>
  <c r="I18" i="1"/>
</calcChain>
</file>

<file path=xl/sharedStrings.xml><?xml version="1.0" encoding="utf-8"?>
<sst xmlns="http://schemas.openxmlformats.org/spreadsheetml/2006/main" count="401" uniqueCount="207">
  <si>
    <t>˙</t>
  </si>
  <si>
    <t>高促調</t>
    <phoneticPr fontId="1" type="noConversion"/>
  </si>
  <si>
    <t>陽入</t>
  </si>
  <si>
    <t>獨</t>
    <phoneticPr fontId="1" type="noConversion"/>
  </si>
  <si>
    <t/>
  </si>
  <si>
    <t>低促調</t>
    <phoneticPr fontId="1" type="noConversion"/>
  </si>
  <si>
    <t>陰入</t>
  </si>
  <si>
    <t>督</t>
    <phoneticPr fontId="1" type="noConversion"/>
  </si>
  <si>
    <t>陽上</t>
  </si>
  <si>
    <t>董</t>
    <phoneticPr fontId="1" type="noConversion"/>
  </si>
  <si>
    <t>ˋ</t>
  </si>
  <si>
    <t>高降調</t>
    <phoneticPr fontId="1" type="noConversion"/>
  </si>
  <si>
    <t>ˊ</t>
  </si>
  <si>
    <t>低升調</t>
    <phoneticPr fontId="1" type="noConversion"/>
  </si>
  <si>
    <t>陽平</t>
  </si>
  <si>
    <t>同</t>
    <phoneticPr fontId="1" type="noConversion"/>
  </si>
  <si>
    <t>˪</t>
  </si>
  <si>
    <t>低音調</t>
    <phoneticPr fontId="1" type="noConversion"/>
  </si>
  <si>
    <t>陰去</t>
  </si>
  <si>
    <t>棟</t>
    <phoneticPr fontId="1" type="noConversion"/>
  </si>
  <si>
    <t>˫</t>
  </si>
  <si>
    <t>中音調</t>
    <phoneticPr fontId="1" type="noConversion"/>
  </si>
  <si>
    <t>陽去</t>
  </si>
  <si>
    <t>動</t>
    <phoneticPr fontId="1" type="noConversion"/>
  </si>
  <si>
    <t>高音調</t>
    <phoneticPr fontId="1" type="noConversion"/>
  </si>
  <si>
    <t>陰平</t>
  </si>
  <si>
    <t>東</t>
    <phoneticPr fontId="1" type="noConversion"/>
  </si>
  <si>
    <t>方音符號</t>
    <phoneticPr fontId="15" type="noConversion"/>
  </si>
  <si>
    <t>閩拼方案</t>
    <phoneticPr fontId="15" type="noConversion"/>
  </si>
  <si>
    <t>台羅調號</t>
    <phoneticPr fontId="17" type="noConversion"/>
  </si>
  <si>
    <t>調值</t>
    <phoneticPr fontId="1" type="noConversion"/>
  </si>
  <si>
    <t>W調名</t>
    <phoneticPr fontId="1" type="noConversion"/>
  </si>
  <si>
    <t>四聲八調</t>
    <phoneticPr fontId="17" type="noConversion"/>
  </si>
  <si>
    <t>漢字與拼音</t>
    <phoneticPr fontId="1" type="noConversion"/>
  </si>
  <si>
    <t>tok4</t>
    <phoneticPr fontId="1" type="noConversion"/>
  </si>
  <si>
    <t>tok8</t>
    <phoneticPr fontId="1" type="noConversion"/>
  </si>
  <si>
    <t>上声/陰上</t>
    <phoneticPr fontId="1" type="noConversion"/>
  </si>
  <si>
    <t>鍵盤按鍵</t>
    <phoneticPr fontId="1" type="noConversion"/>
  </si>
  <si>
    <t>;</t>
    <phoneticPr fontId="1" type="noConversion"/>
  </si>
  <si>
    <t>-</t>
    <phoneticPr fontId="1" type="noConversion"/>
  </si>
  <si>
    <t>_</t>
    <phoneticPr fontId="1" type="noConversion"/>
  </si>
  <si>
    <t>\</t>
    <phoneticPr fontId="1" type="noConversion"/>
  </si>
  <si>
    <t>/</t>
    <phoneticPr fontId="1" type="noConversion"/>
  </si>
  <si>
    <t>[</t>
    <phoneticPr fontId="1" type="noConversion"/>
  </si>
  <si>
    <t>]</t>
    <phoneticPr fontId="1" type="noConversion"/>
  </si>
  <si>
    <t>tong1</t>
  </si>
  <si>
    <t>tong1</t>
    <phoneticPr fontId="1" type="noConversion"/>
  </si>
  <si>
    <t>tong7</t>
  </si>
  <si>
    <t>tong3</t>
  </si>
  <si>
    <t>tong2</t>
  </si>
  <si>
    <t>tong5</t>
  </si>
  <si>
    <t>調號</t>
  </si>
  <si>
    <t>組合用調號</t>
  </si>
  <si>
    <t>◌</t>
  </si>
  <si>
    <t>小寫</t>
  </si>
  <si>
    <t>a</t>
  </si>
  <si>
    <t>ah</t>
  </si>
  <si>
    <t>a̍h</t>
  </si>
  <si>
    <t>a̋</t>
  </si>
  <si>
    <t>e</t>
  </si>
  <si>
    <t>eh</t>
  </si>
  <si>
    <t>e̍h</t>
  </si>
  <si>
    <t>e̋</t>
  </si>
  <si>
    <t>i</t>
  </si>
  <si>
    <t>ih</t>
  </si>
  <si>
    <t>i̍h</t>
  </si>
  <si>
    <t>i̋</t>
  </si>
  <si>
    <t>o</t>
  </si>
  <si>
    <t>oh</t>
  </si>
  <si>
    <t>o̍h</t>
  </si>
  <si>
    <t>u</t>
  </si>
  <si>
    <t>uh</t>
  </si>
  <si>
    <t>u̍h</t>
  </si>
  <si>
    <t>m</t>
  </si>
  <si>
    <t>m̀</t>
  </si>
  <si>
    <t>mh</t>
  </si>
  <si>
    <t>m̂</t>
  </si>
  <si>
    <t>m̌</t>
  </si>
  <si>
    <t>m̄</t>
  </si>
  <si>
    <t>m̍h</t>
  </si>
  <si>
    <t>m̋</t>
  </si>
  <si>
    <t>n</t>
  </si>
  <si>
    <t>nh</t>
  </si>
  <si>
    <t>n̂</t>
  </si>
  <si>
    <t>n̄</t>
  </si>
  <si>
    <t>n̍h</t>
  </si>
  <si>
    <t>n̋</t>
  </si>
  <si>
    <t>大寫</t>
  </si>
  <si>
    <t>A</t>
  </si>
  <si>
    <t>AH</t>
  </si>
  <si>
    <t>A̍H</t>
  </si>
  <si>
    <t>A̋</t>
  </si>
  <si>
    <t>E</t>
  </si>
  <si>
    <t>EH</t>
  </si>
  <si>
    <t>E̍H</t>
  </si>
  <si>
    <t>E̋</t>
  </si>
  <si>
    <t>I</t>
  </si>
  <si>
    <t>IH</t>
  </si>
  <si>
    <t>I̍H</t>
  </si>
  <si>
    <t>I̋</t>
  </si>
  <si>
    <t>O</t>
  </si>
  <si>
    <t>OH</t>
  </si>
  <si>
    <t>O̍H</t>
  </si>
  <si>
    <t>U</t>
  </si>
  <si>
    <t>UH</t>
  </si>
  <si>
    <t>U̍H</t>
  </si>
  <si>
    <t>M</t>
  </si>
  <si>
    <t>M̀</t>
  </si>
  <si>
    <t>MH</t>
  </si>
  <si>
    <t>M̂</t>
  </si>
  <si>
    <t>M̌</t>
  </si>
  <si>
    <t>M̄</t>
  </si>
  <si>
    <t>M̍H</t>
  </si>
  <si>
    <t>M̋</t>
  </si>
  <si>
    <t>N</t>
  </si>
  <si>
    <t>NH</t>
  </si>
  <si>
    <t>N̂</t>
  </si>
  <si>
    <t>N̄</t>
  </si>
  <si>
    <t>N̍H</t>
  </si>
  <si>
    <t>N̋</t>
  </si>
  <si>
    <t>◌̂ U+0302</t>
  </si>
  <si>
    <t>◌̍ U+030D</t>
  </si>
  <si>
    <t>◌̋ U+030B</t>
  </si>
  <si>
    <t>á U+00E1</t>
  </si>
  <si>
    <t>à U+00E0</t>
  </si>
  <si>
    <t>â U+00E2</t>
  </si>
  <si>
    <t>ā U+0101</t>
  </si>
  <si>
    <t>é U+00E9</t>
  </si>
  <si>
    <t>è U+00E8</t>
  </si>
  <si>
    <t>ê U+00EA</t>
  </si>
  <si>
    <t>ě U+011B</t>
  </si>
  <si>
    <t>ē U+0113</t>
  </si>
  <si>
    <t>í U+00ED</t>
  </si>
  <si>
    <t>ì U+00EC</t>
  </si>
  <si>
    <t>î U+00EE</t>
  </si>
  <si>
    <t>ī U+012B</t>
  </si>
  <si>
    <t>ó U+00F3</t>
  </si>
  <si>
    <t>ò U+00F2</t>
  </si>
  <si>
    <t>ô U+00F4</t>
  </si>
  <si>
    <t>ō U+014D</t>
  </si>
  <si>
    <t>ő U+0151</t>
  </si>
  <si>
    <t>ú U+00FA</t>
  </si>
  <si>
    <t>ù U+00F9</t>
  </si>
  <si>
    <t>û U+00FB</t>
  </si>
  <si>
    <t>ū U+016B</t>
  </si>
  <si>
    <t>ű U+0171</t>
  </si>
  <si>
    <t>ḿ U+1E3F</t>
  </si>
  <si>
    <t>ń U+0144</t>
  </si>
  <si>
    <t>ǹ U+01F9</t>
  </si>
  <si>
    <t>ň U+0148</t>
  </si>
  <si>
    <t>Á U+00C1</t>
  </si>
  <si>
    <t>À U+00C0</t>
  </si>
  <si>
    <t>Â U+00C2</t>
  </si>
  <si>
    <t>Ā U+0100</t>
  </si>
  <si>
    <t>É U+00C9</t>
  </si>
  <si>
    <t>È U+00C8</t>
  </si>
  <si>
    <t>Ê U+00CA</t>
  </si>
  <si>
    <t>Ě U+011A</t>
  </si>
  <si>
    <t>Ē U+0112</t>
  </si>
  <si>
    <t>Í U+00CD</t>
  </si>
  <si>
    <t>Ì U+00CC</t>
  </si>
  <si>
    <t>Î U+00CE</t>
  </si>
  <si>
    <t>Ǐ U+01CF</t>
  </si>
  <si>
    <t>Ó U+00D3</t>
  </si>
  <si>
    <t>Ò U+00D2</t>
  </si>
  <si>
    <t>Ô U+00D4</t>
  </si>
  <si>
    <t>Ō U+014C</t>
  </si>
  <si>
    <t>Ő U+0150</t>
  </si>
  <si>
    <t>Ú U+00DA</t>
  </si>
  <si>
    <t>Ù U+00D9</t>
  </si>
  <si>
    <t>Û U+00DB</t>
  </si>
  <si>
    <t>Ǔ U+01D3</t>
  </si>
  <si>
    <t>Ű U+0170</t>
  </si>
  <si>
    <t>Ḿ U+1E3E</t>
  </si>
  <si>
    <t>Ń U+0143</t>
  </si>
  <si>
    <t>Ǹ U+01F8</t>
  </si>
  <si>
    <t>Ň U+0147</t>
  </si>
  <si>
    <t>◌̌ U+030C</t>
  </si>
  <si>
    <t>◌̄ U+0304</t>
  </si>
  <si>
    <t>ǎ U+01CE</t>
  </si>
  <si>
    <t>ǐ U+01D0</t>
  </si>
  <si>
    <t>ǒ U+01D2</t>
  </si>
  <si>
    <t>ǔ U+01D4</t>
  </si>
  <si>
    <t>Ǎ U+01CD</t>
  </si>
  <si>
    <t>Ǒ U+01D1</t>
  </si>
  <si>
    <t>◌́ U+0301</t>
  </si>
  <si>
    <t>◌̀ U+0300</t>
  </si>
  <si>
    <r>
      <rPr>
        <u/>
        <sz val="12"/>
        <color theme="10"/>
        <rFont val="新細明體"/>
        <family val="2"/>
      </rPr>
      <t>Ī</t>
    </r>
    <r>
      <rPr>
        <u/>
        <sz val="12"/>
        <color theme="10"/>
        <rFont val="Noto Sans TC Medium"/>
        <family val="2"/>
      </rPr>
      <t> U+012A</t>
    </r>
  </si>
  <si>
    <r>
      <rPr>
        <u/>
        <sz val="12"/>
        <color theme="10"/>
        <rFont val="新細明體"/>
        <family val="2"/>
      </rPr>
      <t>Ū</t>
    </r>
    <r>
      <rPr>
        <u/>
        <sz val="12"/>
        <color theme="10"/>
        <rFont val="Noto Sans TC Medium"/>
        <family val="2"/>
      </rPr>
      <t> U+016A</t>
    </r>
  </si>
  <si>
    <r>
      <t>註：使用 o͘ 與 </t>
    </r>
    <r>
      <rPr>
        <u/>
        <sz val="12"/>
        <color theme="10"/>
        <rFont val="新細明體"/>
        <family val="2"/>
      </rPr>
      <t>ⁿ</t>
    </r>
    <r>
      <rPr>
        <u/>
        <sz val="12"/>
        <color theme="10"/>
        <rFont val="Noto Sans TC Medium"/>
        <family val="2"/>
      </rPr>
      <t> 的台羅傳統版序列，請參考白話字條目。</t>
    </r>
  </si>
  <si>
    <t>Hex</t>
    <phoneticPr fontId="1" type="noConversion"/>
  </si>
  <si>
    <t>Unichar</t>
    <phoneticPr fontId="1" type="noConversion"/>
  </si>
  <si>
    <t>tóng</t>
  </si>
  <si>
    <t>tòng</t>
  </si>
  <si>
    <t>tông</t>
  </si>
  <si>
    <t>tǒng</t>
  </si>
  <si>
    <t>tōng</t>
  </si>
  <si>
    <t>to̍ng</t>
  </si>
  <si>
    <t>tőng</t>
  </si>
  <si>
    <t>閩拼調號</t>
    <phoneticPr fontId="15" type="noConversion"/>
  </si>
  <si>
    <t>；</t>
    <phoneticPr fontId="1" type="noConversion"/>
  </si>
  <si>
    <t>聲調按鍵</t>
    <phoneticPr fontId="1" type="noConversion"/>
  </si>
  <si>
    <t>漢字</t>
    <phoneticPr fontId="1" type="noConversion"/>
  </si>
  <si>
    <t>閩拼音標</t>
    <phoneticPr fontId="1" type="noConversion"/>
  </si>
  <si>
    <t>按鍵輸入</t>
    <phoneticPr fontId="17" type="noConversion"/>
  </si>
  <si>
    <t>tong6</t>
  </si>
  <si>
    <t>tong8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</si>
</sst>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1"/>
      <name val="Noto Sans TC"/>
      <family val="2"/>
      <charset val="136"/>
    </font>
    <font>
      <sz val="18"/>
      <color theme="1"/>
      <name val="Noto Sans TC"/>
      <family val="2"/>
    </font>
    <font>
      <sz val="10"/>
      <color rgb="FF000000"/>
      <name val="Linux Libertine G"/>
      <family val="2"/>
    </font>
    <font>
      <sz val="16"/>
      <name val="Arial"/>
      <family val="2"/>
    </font>
    <font>
      <sz val="16"/>
      <color theme="1"/>
      <name val="Noto Serif TC Black"/>
      <family val="1"/>
    </font>
    <font>
      <sz val="16"/>
      <color theme="0" tint="-0.249977111117893"/>
      <name val="Noto Sans TC Medium"/>
      <family val="2"/>
      <charset val="136"/>
    </font>
    <font>
      <sz val="18"/>
      <color theme="0" tint="-0.249977111117893"/>
      <name val="Noto Sans TC"/>
      <family val="2"/>
    </font>
    <font>
      <sz val="16"/>
      <color theme="0" tint="-0.249977111117893"/>
      <name val="Arial"/>
      <family val="2"/>
    </font>
    <font>
      <sz val="16"/>
      <color theme="0" tint="-0.249977111117893"/>
      <name val="Noto Serif TC Black"/>
      <family val="1"/>
    </font>
    <font>
      <sz val="16"/>
      <color theme="1"/>
      <name val="Noto Serif TC Black"/>
      <family val="1"/>
      <charset val="136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b/>
      <sz val="16"/>
      <color theme="0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36"/>
      <color theme="0" tint="-0.249977111117893"/>
      <name val="Noto Serif TC Black"/>
      <family val="1"/>
      <charset val="136"/>
    </font>
    <font>
      <sz val="36"/>
      <color theme="1"/>
      <name val="字咍源雲明體 台羅方音 L"/>
      <family val="1"/>
      <charset val="136"/>
    </font>
    <font>
      <b/>
      <sz val="28"/>
      <color rgb="FFFF0000"/>
      <name val="Arial"/>
      <family val="2"/>
    </font>
    <font>
      <sz val="28"/>
      <color theme="1"/>
      <name val="Noto Sans TC"/>
      <family val="2"/>
    </font>
    <font>
      <sz val="36"/>
      <color theme="1"/>
      <name val="Noto Sans TC Medium"/>
      <family val="2"/>
      <charset val="136"/>
    </font>
    <font>
      <sz val="36"/>
      <color theme="1"/>
      <name val="Noto Sans TC Medium"/>
      <family val="2"/>
    </font>
    <font>
      <sz val="22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Noto Sans TC Medium"/>
      <family val="2"/>
      <charset val="136"/>
    </font>
    <font>
      <b/>
      <sz val="12"/>
      <color rgb="FF0C0301"/>
      <name val="Noto Sans TC Medium"/>
      <family val="2"/>
      <charset val="136"/>
    </font>
    <font>
      <u/>
      <sz val="12"/>
      <color theme="10"/>
      <name val="Noto Sans TC Medium"/>
      <family val="2"/>
    </font>
    <font>
      <sz val="12"/>
      <color rgb="FF0C0301"/>
      <name val="Noto Sans TC Medium"/>
      <family val="2"/>
    </font>
    <font>
      <b/>
      <sz val="12"/>
      <color rgb="FF0C0301"/>
      <name val="Noto Sans TC Medium"/>
      <family val="2"/>
    </font>
    <font>
      <u/>
      <sz val="12"/>
      <color theme="10"/>
      <name val="新細明體"/>
      <family val="2"/>
    </font>
    <font>
      <sz val="18"/>
      <color theme="1"/>
      <name val="Noto Sans TC Medium"/>
      <family val="2"/>
      <charset val="136"/>
    </font>
    <font>
      <sz val="18"/>
      <color theme="1"/>
      <name val="新細明體"/>
      <family val="2"/>
      <charset val="136"/>
      <scheme val="minor"/>
    </font>
    <font>
      <sz val="36"/>
      <color theme="1"/>
      <name val="Noto Serif TC Medium"/>
      <family val="1"/>
      <charset val="136"/>
    </font>
    <font>
      <sz val="24"/>
      <color theme="1"/>
      <name val="字咍源雲明體 台羅方音 L"/>
      <family val="1"/>
      <charset val="136"/>
    </font>
    <font>
      <b/>
      <sz val="24"/>
      <color theme="1"/>
      <name val="字咍源雲明體 台羅方音 L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2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 indent="2"/>
    </xf>
    <xf numFmtId="0" fontId="8" fillId="2" borderId="1" xfId="4" applyFont="1" applyFill="1" applyBorder="1" applyAlignment="1">
      <alignment horizontal="left" vertical="center" indent="2"/>
    </xf>
    <xf numFmtId="0" fontId="19" fillId="3" borderId="1" xfId="4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20" fillId="3" borderId="1" xfId="3" applyFont="1" applyFill="1" applyBorder="1" applyAlignment="1">
      <alignment horizontal="center" vertical="center"/>
    </xf>
    <xf numFmtId="0" fontId="20" fillId="2" borderId="1" xfId="3" quotePrefix="1" applyFont="1" applyFill="1" applyBorder="1" applyAlignment="1">
      <alignment horizontal="center" vertical="center"/>
    </xf>
    <xf numFmtId="0" fontId="20" fillId="2" borderId="1" xfId="3" applyFont="1" applyFill="1" applyBorder="1" applyAlignment="1">
      <alignment horizontal="center" vertical="center"/>
    </xf>
    <xf numFmtId="0" fontId="20" fillId="3" borderId="1" xfId="3" quotePrefix="1" applyFont="1" applyFill="1" applyBorder="1" applyAlignment="1">
      <alignment horizontal="center" vertical="center"/>
    </xf>
    <xf numFmtId="0" fontId="21" fillId="3" borderId="1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 indent="1"/>
    </xf>
    <xf numFmtId="0" fontId="8" fillId="2" borderId="1" xfId="4" applyFont="1" applyFill="1" applyBorder="1" applyAlignment="1">
      <alignment horizontal="left" vertical="center" indent="1"/>
    </xf>
    <xf numFmtId="0" fontId="24" fillId="3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7" fillId="5" borderId="5" xfId="0" applyFont="1" applyFill="1" applyBorder="1" applyAlignment="1">
      <alignment horizontal="center" vertical="top" wrapText="1"/>
    </xf>
    <xf numFmtId="0" fontId="28" fillId="5" borderId="5" xfId="5" applyFont="1" applyFill="1" applyBorder="1" applyAlignment="1">
      <alignment horizontal="center" vertical="top" wrapText="1"/>
    </xf>
    <xf numFmtId="0" fontId="29" fillId="5" borderId="5" xfId="0" applyFont="1" applyFill="1" applyBorder="1" applyAlignment="1">
      <alignment horizontal="center" vertical="top" wrapText="1"/>
    </xf>
    <xf numFmtId="0" fontId="30" fillId="5" borderId="6" xfId="0" applyFont="1" applyFill="1" applyBorder="1" applyAlignment="1">
      <alignment horizontal="center" vertical="top" wrapText="1"/>
    </xf>
    <xf numFmtId="0" fontId="30" fillId="5" borderId="7" xfId="0" applyFont="1" applyFill="1" applyBorder="1" applyAlignment="1">
      <alignment horizontal="center" vertical="top" wrapText="1"/>
    </xf>
    <xf numFmtId="0" fontId="30" fillId="5" borderId="8" xfId="0" applyFont="1" applyFill="1" applyBorder="1" applyAlignment="1">
      <alignment horizontal="center" vertical="top" wrapText="1"/>
    </xf>
    <xf numFmtId="0" fontId="28" fillId="5" borderId="5" xfId="5" applyFont="1" applyFill="1" applyBorder="1" applyAlignment="1">
      <alignment horizontal="left" vertical="top" wrapText="1"/>
    </xf>
    <xf numFmtId="0" fontId="29" fillId="5" borderId="5" xfId="0" applyFont="1" applyFill="1" applyBorder="1" applyAlignment="1">
      <alignment horizontal="left" vertical="top" wrapText="1"/>
    </xf>
    <xf numFmtId="0" fontId="28" fillId="0" borderId="0" xfId="5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34" fillId="3" borderId="1" xfId="4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0" fontId="34" fillId="0" borderId="1" xfId="4" applyFont="1" applyFill="1" applyBorder="1" applyAlignment="1">
      <alignment horizontal="center"/>
    </xf>
    <xf numFmtId="0" fontId="13" fillId="0" borderId="1" xfId="4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0" fontId="35" fillId="0" borderId="1" xfId="4" applyFont="1" applyFill="1" applyBorder="1" applyAlignment="1">
      <alignment horizontal="center"/>
    </xf>
    <xf numFmtId="0" fontId="36" fillId="0" borderId="1" xfId="4" applyFont="1" applyFill="1" applyBorder="1" applyAlignment="1">
      <alignment horizontal="center"/>
    </xf>
    <xf numFmtId="0" fontId="14" fillId="4" borderId="3" xfId="2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13" fillId="6" borderId="1" xfId="4" applyFont="1" applyFill="1" applyBorder="1" applyAlignment="1">
      <alignment horizontal="center" vertical="center"/>
    </xf>
    <xf numFmtId="0" fontId="36" fillId="6" borderId="1" xfId="4" applyFont="1" applyFill="1" applyBorder="1" applyAlignment="1">
      <alignment horizontal="center"/>
    </xf>
    <xf numFmtId="0" fontId="34" fillId="6" borderId="1" xfId="4" applyFont="1" applyFill="1" applyBorder="1" applyAlignment="1">
      <alignment horizontal="center"/>
    </xf>
    <xf numFmtId="0" fontId="35" fillId="6" borderId="1" xfId="4" applyFont="1" applyFill="1" applyBorder="1" applyAlignment="1">
      <alignment horizontal="center"/>
    </xf>
  </cellXfs>
  <cellStyles count="6">
    <cellStyle name="一般" xfId="0" builtinId="0"/>
    <cellStyle name="一般 2" xfId="3" xr:uid="{F80E22BE-4E86-4EE6-9A84-AB69E57DE0CA}"/>
    <cellStyle name="一般 3" xfId="2" xr:uid="{339E2E32-D091-4B1C-8D20-0F19EFF7140B}"/>
    <cellStyle name="一般 4 2" xfId="1" xr:uid="{EA1B35F1-F8C7-4DBF-80A8-32E3C86E8708}"/>
    <cellStyle name="一般 5" xfId="4" xr:uid="{1764E436-0C56-4749-A903-F277CDD5CEB5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zi-hi.com/sp/uni/01D2" TargetMode="External"/><Relationship Id="rId21" Type="http://schemas.openxmlformats.org/officeDocument/2006/relationships/hyperlink" Target="https://zi-hi.com/sp/uni/01D0" TargetMode="External"/><Relationship Id="rId42" Type="http://schemas.openxmlformats.org/officeDocument/2006/relationships/hyperlink" Target="https://zi-hi.com/sp/uni/01CD" TargetMode="External"/><Relationship Id="rId47" Type="http://schemas.openxmlformats.org/officeDocument/2006/relationships/hyperlink" Target="https://zi-hi.com/sp/uni/011A" TargetMode="External"/><Relationship Id="rId63" Type="http://schemas.openxmlformats.org/officeDocument/2006/relationships/hyperlink" Target="https://zi-hi.com/sp/uni/01D3" TargetMode="External"/><Relationship Id="rId68" Type="http://schemas.openxmlformats.org/officeDocument/2006/relationships/hyperlink" Target="https://zi-hi.com/sp/uni/01F8" TargetMode="External"/><Relationship Id="rId16" Type="http://schemas.openxmlformats.org/officeDocument/2006/relationships/hyperlink" Target="https://zi-hi.com/sp/uni/011B" TargetMode="External"/><Relationship Id="rId11" Type="http://schemas.openxmlformats.org/officeDocument/2006/relationships/hyperlink" Target="https://zi-hi.com/sp/uni/01CE" TargetMode="External"/><Relationship Id="rId24" Type="http://schemas.openxmlformats.org/officeDocument/2006/relationships/hyperlink" Target="https://zi-hi.com/sp/uni/00F2" TargetMode="External"/><Relationship Id="rId32" Type="http://schemas.openxmlformats.org/officeDocument/2006/relationships/hyperlink" Target="https://zi-hi.com/sp/uni/01D4" TargetMode="External"/><Relationship Id="rId37" Type="http://schemas.openxmlformats.org/officeDocument/2006/relationships/hyperlink" Target="https://zi-hi.com/sp/uni/01F9" TargetMode="External"/><Relationship Id="rId40" Type="http://schemas.openxmlformats.org/officeDocument/2006/relationships/hyperlink" Target="https://zi-hi.com/sp/uni/00C0" TargetMode="External"/><Relationship Id="rId45" Type="http://schemas.openxmlformats.org/officeDocument/2006/relationships/hyperlink" Target="https://zi-hi.com/sp/uni/00C8" TargetMode="External"/><Relationship Id="rId53" Type="http://schemas.openxmlformats.org/officeDocument/2006/relationships/hyperlink" Target="https://zi-hi.com/sp/uni/012A" TargetMode="External"/><Relationship Id="rId58" Type="http://schemas.openxmlformats.org/officeDocument/2006/relationships/hyperlink" Target="https://zi-hi.com/sp/uni/014C" TargetMode="External"/><Relationship Id="rId66" Type="http://schemas.openxmlformats.org/officeDocument/2006/relationships/hyperlink" Target="https://zi-hi.com/sp/uni/1E3E" TargetMode="External"/><Relationship Id="rId74" Type="http://schemas.openxmlformats.org/officeDocument/2006/relationships/hyperlink" Target="https://zi-hi.com/sp/uni/030C" TargetMode="External"/><Relationship Id="rId5" Type="http://schemas.openxmlformats.org/officeDocument/2006/relationships/hyperlink" Target="https://zi-hi.com/sp/uni/0304" TargetMode="External"/><Relationship Id="rId61" Type="http://schemas.openxmlformats.org/officeDocument/2006/relationships/hyperlink" Target="https://zi-hi.com/sp/uni/00D9" TargetMode="External"/><Relationship Id="rId19" Type="http://schemas.openxmlformats.org/officeDocument/2006/relationships/hyperlink" Target="https://zi-hi.com/sp/uni/00EC" TargetMode="External"/><Relationship Id="rId14" Type="http://schemas.openxmlformats.org/officeDocument/2006/relationships/hyperlink" Target="https://zi-hi.com/sp/uni/00E8" TargetMode="External"/><Relationship Id="rId22" Type="http://schemas.openxmlformats.org/officeDocument/2006/relationships/hyperlink" Target="https://zi-hi.com/sp/uni/012B" TargetMode="External"/><Relationship Id="rId27" Type="http://schemas.openxmlformats.org/officeDocument/2006/relationships/hyperlink" Target="https://zi-hi.com/sp/uni/014D" TargetMode="External"/><Relationship Id="rId30" Type="http://schemas.openxmlformats.org/officeDocument/2006/relationships/hyperlink" Target="https://zi-hi.com/sp/uni/00F9" TargetMode="External"/><Relationship Id="rId35" Type="http://schemas.openxmlformats.org/officeDocument/2006/relationships/hyperlink" Target="https://zi-hi.com/sp/uni/1E3F" TargetMode="External"/><Relationship Id="rId43" Type="http://schemas.openxmlformats.org/officeDocument/2006/relationships/hyperlink" Target="https://zi-hi.com/sp/uni/0100" TargetMode="External"/><Relationship Id="rId48" Type="http://schemas.openxmlformats.org/officeDocument/2006/relationships/hyperlink" Target="https://zi-hi.com/sp/uni/0112" TargetMode="External"/><Relationship Id="rId56" Type="http://schemas.openxmlformats.org/officeDocument/2006/relationships/hyperlink" Target="https://zi-hi.com/sp/uni/00D4" TargetMode="External"/><Relationship Id="rId64" Type="http://schemas.openxmlformats.org/officeDocument/2006/relationships/hyperlink" Target="https://zi-hi.com/sp/uni/016A" TargetMode="External"/><Relationship Id="rId69" Type="http://schemas.openxmlformats.org/officeDocument/2006/relationships/hyperlink" Target="https://zi-hi.com/sp/uni/0147" TargetMode="External"/><Relationship Id="rId77" Type="http://schemas.openxmlformats.org/officeDocument/2006/relationships/hyperlink" Target="https://zi-hi.com/sp/uni/030B" TargetMode="External"/><Relationship Id="rId8" Type="http://schemas.openxmlformats.org/officeDocument/2006/relationships/hyperlink" Target="https://zi-hi.com/sp/uni/00E1" TargetMode="External"/><Relationship Id="rId51" Type="http://schemas.openxmlformats.org/officeDocument/2006/relationships/hyperlink" Target="https://zi-hi.com/sp/uni/00CE" TargetMode="External"/><Relationship Id="rId72" Type="http://schemas.openxmlformats.org/officeDocument/2006/relationships/hyperlink" Target="https://zi-hi.com/sp/uni/0300" TargetMode="External"/><Relationship Id="rId3" Type="http://schemas.openxmlformats.org/officeDocument/2006/relationships/hyperlink" Target="https://zi-hi.com/sp/uni/0302" TargetMode="External"/><Relationship Id="rId12" Type="http://schemas.openxmlformats.org/officeDocument/2006/relationships/hyperlink" Target="https://zi-hi.com/sp/uni/0101" TargetMode="External"/><Relationship Id="rId17" Type="http://schemas.openxmlformats.org/officeDocument/2006/relationships/hyperlink" Target="https://zi-hi.com/sp/uni/0113" TargetMode="External"/><Relationship Id="rId25" Type="http://schemas.openxmlformats.org/officeDocument/2006/relationships/hyperlink" Target="https://zi-hi.com/sp/uni/00F4" TargetMode="External"/><Relationship Id="rId33" Type="http://schemas.openxmlformats.org/officeDocument/2006/relationships/hyperlink" Target="https://zi-hi.com/sp/uni/016B" TargetMode="External"/><Relationship Id="rId38" Type="http://schemas.openxmlformats.org/officeDocument/2006/relationships/hyperlink" Target="https://zi-hi.com/sp/uni/0148" TargetMode="External"/><Relationship Id="rId46" Type="http://schemas.openxmlformats.org/officeDocument/2006/relationships/hyperlink" Target="https://zi-hi.com/sp/uni/00CA" TargetMode="External"/><Relationship Id="rId59" Type="http://schemas.openxmlformats.org/officeDocument/2006/relationships/hyperlink" Target="https://zi-hi.com/sp/uni/0150" TargetMode="External"/><Relationship Id="rId67" Type="http://schemas.openxmlformats.org/officeDocument/2006/relationships/hyperlink" Target="https://zi-hi.com/sp/uni/0143" TargetMode="External"/><Relationship Id="rId20" Type="http://schemas.openxmlformats.org/officeDocument/2006/relationships/hyperlink" Target="https://zi-hi.com/sp/uni/00EE" TargetMode="External"/><Relationship Id="rId41" Type="http://schemas.openxmlformats.org/officeDocument/2006/relationships/hyperlink" Target="https://zi-hi.com/sp/uni/00C2" TargetMode="External"/><Relationship Id="rId54" Type="http://schemas.openxmlformats.org/officeDocument/2006/relationships/hyperlink" Target="https://zi-hi.com/sp/uni/00D3" TargetMode="External"/><Relationship Id="rId62" Type="http://schemas.openxmlformats.org/officeDocument/2006/relationships/hyperlink" Target="https://zi-hi.com/sp/uni/00DB" TargetMode="External"/><Relationship Id="rId70" Type="http://schemas.openxmlformats.org/officeDocument/2006/relationships/hyperlink" Target="https://zi-hi.com/%E7%99%BD%E8%A9%B1%E5%AD%97" TargetMode="External"/><Relationship Id="rId75" Type="http://schemas.openxmlformats.org/officeDocument/2006/relationships/hyperlink" Target="https://zi-hi.com/sp/uni/0304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15" Type="http://schemas.openxmlformats.org/officeDocument/2006/relationships/hyperlink" Target="https://zi-hi.com/sp/uni/00EA" TargetMode="External"/><Relationship Id="rId23" Type="http://schemas.openxmlformats.org/officeDocument/2006/relationships/hyperlink" Target="https://zi-hi.com/sp/uni/00F3" TargetMode="External"/><Relationship Id="rId28" Type="http://schemas.openxmlformats.org/officeDocument/2006/relationships/hyperlink" Target="https://zi-hi.com/sp/uni/0151" TargetMode="External"/><Relationship Id="rId36" Type="http://schemas.openxmlformats.org/officeDocument/2006/relationships/hyperlink" Target="https://zi-hi.com/sp/uni/0144" TargetMode="External"/><Relationship Id="rId49" Type="http://schemas.openxmlformats.org/officeDocument/2006/relationships/hyperlink" Target="https://zi-hi.com/sp/uni/00CD" TargetMode="External"/><Relationship Id="rId57" Type="http://schemas.openxmlformats.org/officeDocument/2006/relationships/hyperlink" Target="https://zi-hi.com/sp/uni/01D1" TargetMode="External"/><Relationship Id="rId10" Type="http://schemas.openxmlformats.org/officeDocument/2006/relationships/hyperlink" Target="https://zi-hi.com/sp/uni/00E2" TargetMode="External"/><Relationship Id="rId31" Type="http://schemas.openxmlformats.org/officeDocument/2006/relationships/hyperlink" Target="https://zi-hi.com/sp/uni/00FB" TargetMode="External"/><Relationship Id="rId44" Type="http://schemas.openxmlformats.org/officeDocument/2006/relationships/hyperlink" Target="https://zi-hi.com/sp/uni/00C9" TargetMode="External"/><Relationship Id="rId52" Type="http://schemas.openxmlformats.org/officeDocument/2006/relationships/hyperlink" Target="https://zi-hi.com/sp/uni/01CF" TargetMode="External"/><Relationship Id="rId60" Type="http://schemas.openxmlformats.org/officeDocument/2006/relationships/hyperlink" Target="https://zi-hi.com/sp/uni/00DA" TargetMode="External"/><Relationship Id="rId65" Type="http://schemas.openxmlformats.org/officeDocument/2006/relationships/hyperlink" Target="https://zi-hi.com/sp/uni/0170" TargetMode="External"/><Relationship Id="rId73" Type="http://schemas.openxmlformats.org/officeDocument/2006/relationships/hyperlink" Target="https://zi-hi.com/sp/uni/0302" TargetMode="External"/><Relationship Id="rId4" Type="http://schemas.openxmlformats.org/officeDocument/2006/relationships/hyperlink" Target="https://zi-hi.com/sp/uni/030C" TargetMode="External"/><Relationship Id="rId9" Type="http://schemas.openxmlformats.org/officeDocument/2006/relationships/hyperlink" Target="https://zi-hi.com/sp/uni/00E0" TargetMode="External"/><Relationship Id="rId13" Type="http://schemas.openxmlformats.org/officeDocument/2006/relationships/hyperlink" Target="https://zi-hi.com/sp/uni/00E9" TargetMode="External"/><Relationship Id="rId18" Type="http://schemas.openxmlformats.org/officeDocument/2006/relationships/hyperlink" Target="https://zi-hi.com/sp/uni/00ED" TargetMode="External"/><Relationship Id="rId39" Type="http://schemas.openxmlformats.org/officeDocument/2006/relationships/hyperlink" Target="https://zi-hi.com/sp/uni/00C1" TargetMode="External"/><Relationship Id="rId34" Type="http://schemas.openxmlformats.org/officeDocument/2006/relationships/hyperlink" Target="https://zi-hi.com/sp/uni/0171" TargetMode="External"/><Relationship Id="rId50" Type="http://schemas.openxmlformats.org/officeDocument/2006/relationships/hyperlink" Target="https://zi-hi.com/sp/uni/00CC" TargetMode="External"/><Relationship Id="rId55" Type="http://schemas.openxmlformats.org/officeDocument/2006/relationships/hyperlink" Target="https://zi-hi.com/sp/uni/00D2" TargetMode="External"/><Relationship Id="rId76" Type="http://schemas.openxmlformats.org/officeDocument/2006/relationships/hyperlink" Target="https://zi-hi.com/sp/uni/030D" TargetMode="External"/><Relationship Id="rId7" Type="http://schemas.openxmlformats.org/officeDocument/2006/relationships/hyperlink" Target="https://zi-hi.com/sp/uni/030B" TargetMode="External"/><Relationship Id="rId71" Type="http://schemas.openxmlformats.org/officeDocument/2006/relationships/hyperlink" Target="https://zi-hi.com/sp/uni/0301" TargetMode="External"/><Relationship Id="rId2" Type="http://schemas.openxmlformats.org/officeDocument/2006/relationships/hyperlink" Target="https://zi-hi.com/sp/uni/0300" TargetMode="External"/><Relationship Id="rId29" Type="http://schemas.openxmlformats.org/officeDocument/2006/relationships/hyperlink" Target="https://zi-hi.com/sp/uni/00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7F8-EC6F-425C-A778-2C680D504D26}">
  <dimension ref="B2:O18"/>
  <sheetViews>
    <sheetView showGridLines="0" tabSelected="1" workbookViewId="0">
      <selection activeCell="Q10" sqref="Q10"/>
    </sheetView>
  </sheetViews>
  <sheetFormatPr defaultRowHeight="16.5" outlineLevelRow="1"/>
  <cols>
    <col min="1" max="1" width="4.125" customWidth="1"/>
    <col min="2" max="2" width="14" customWidth="1"/>
    <col min="3" max="3" width="10.5" bestFit="1" customWidth="1"/>
    <col min="4" max="5" width="15.375" customWidth="1"/>
    <col min="6" max="6" width="15" customWidth="1"/>
    <col min="7" max="8" width="14.75" customWidth="1"/>
    <col min="9" max="9" width="15.375" customWidth="1"/>
    <col min="10" max="10" width="15" customWidth="1"/>
  </cols>
  <sheetData>
    <row r="2" spans="2:15" ht="25.5">
      <c r="B2" s="13" t="s">
        <v>199</v>
      </c>
      <c r="C2" s="13" t="s">
        <v>30</v>
      </c>
      <c r="D2" s="14" t="s">
        <v>32</v>
      </c>
      <c r="E2" s="14" t="s">
        <v>31</v>
      </c>
      <c r="F2" s="13" t="s">
        <v>201</v>
      </c>
      <c r="G2" s="13" t="s">
        <v>202</v>
      </c>
      <c r="H2" s="58" t="s">
        <v>203</v>
      </c>
      <c r="I2" s="59"/>
      <c r="J2" s="14" t="s">
        <v>204</v>
      </c>
    </row>
    <row r="3" spans="2:15" ht="57.75">
      <c r="B3" s="54">
        <v>1</v>
      </c>
      <c r="C3" s="52">
        <v>44</v>
      </c>
      <c r="D3" s="51" t="s">
        <v>25</v>
      </c>
      <c r="E3" s="51" t="s">
        <v>24</v>
      </c>
      <c r="F3" s="57" t="s">
        <v>38</v>
      </c>
      <c r="G3" s="50" t="s">
        <v>26</v>
      </c>
      <c r="H3" s="56" t="s">
        <v>45</v>
      </c>
      <c r="I3" s="56" t="str">
        <f xml:space="preserve"> IFERROR( _xlfn.CONCAT("t", "o", _xlfn.UNICHAR(HEX2DEC(RIGHT("U+0304",4))), "ng"), "")</f>
        <v>tōng</v>
      </c>
      <c r="J3" s="56" t="str">
        <f xml:space="preserve"> _xlfn.CONCAT("tong", F3)</f>
        <v>tong;</v>
      </c>
      <c r="L3" s="38" t="s">
        <v>185</v>
      </c>
      <c r="M3" s="46">
        <f xml:space="preserve"> IFERROR( HEX2DEC(RIGHT(L3,4)), "")</f>
        <v>769</v>
      </c>
      <c r="N3" s="46" t="str">
        <f xml:space="preserve"> IFERROR( _xlfn.CONCAT("o", _xlfn.UNICHAR(HEX2DEC(RIGHT(L3,4)))), "")</f>
        <v>ó</v>
      </c>
      <c r="O3" s="46" t="str">
        <f xml:space="preserve"> IFERROR( _xlfn.CONCAT("t", "o", _xlfn.UNICHAR(HEX2DEC(RIGHT(L3,4))), "ng"), "")</f>
        <v>tóng</v>
      </c>
    </row>
    <row r="4" spans="2:15" ht="57.75">
      <c r="B4" s="60">
        <v>2</v>
      </c>
      <c r="C4" s="61">
        <v>13</v>
      </c>
      <c r="D4" s="62" t="s">
        <v>14</v>
      </c>
      <c r="E4" s="62" t="s">
        <v>13</v>
      </c>
      <c r="F4" s="63" t="s">
        <v>42</v>
      </c>
      <c r="G4" s="64" t="s">
        <v>15</v>
      </c>
      <c r="H4" s="65" t="s">
        <v>49</v>
      </c>
      <c r="I4" s="65" t="str">
        <f xml:space="preserve"> IFERROR( _xlfn.CONCAT("t", "o", _xlfn.UNICHAR(HEX2DEC(RIGHT("U+0301",4))), "ng"), "")</f>
        <v>tóng</v>
      </c>
      <c r="J4" s="65" t="str">
        <f t="shared" ref="J4:J7" si="0" xml:space="preserve"> _xlfn.CONCAT("tong", F4)</f>
        <v>tong/</v>
      </c>
      <c r="L4" s="38" t="s">
        <v>186</v>
      </c>
      <c r="M4" s="46">
        <f t="shared" ref="M4:M10" si="1" xml:space="preserve"> IFERROR( HEX2DEC(RIGHT(L4,4)), "")</f>
        <v>768</v>
      </c>
      <c r="N4" s="46" t="str">
        <f t="shared" ref="N4:N10" si="2" xml:space="preserve"> IFERROR( _xlfn.CONCAT("o", _xlfn.UNICHAR(HEX2DEC(RIGHT(L4,4)))), "")</f>
        <v>ò</v>
      </c>
      <c r="O4" s="46" t="str">
        <f t="shared" ref="O4:O10" si="3" xml:space="preserve"> IFERROR( _xlfn.CONCAT("t", "o", _xlfn.UNICHAR(HEX2DEC(RIGHT(L4,4))), "ng"), "")</f>
        <v>tòng</v>
      </c>
    </row>
    <row r="5" spans="2:15" ht="57.75">
      <c r="B5" s="54">
        <v>3</v>
      </c>
      <c r="C5" s="52">
        <v>53</v>
      </c>
      <c r="D5" s="55" t="s">
        <v>36</v>
      </c>
      <c r="E5" s="55" t="s">
        <v>11</v>
      </c>
      <c r="F5" s="57" t="s">
        <v>41</v>
      </c>
      <c r="G5" s="50" t="s">
        <v>9</v>
      </c>
      <c r="H5" s="56" t="s">
        <v>48</v>
      </c>
      <c r="I5" s="56" t="str">
        <f xml:space="preserve"> IFERROR( _xlfn.CONCAT("t", "o", _xlfn.UNICHAR(HEX2DEC(RIGHT("U+030C",4))), "ng"), "")</f>
        <v>tǒng</v>
      </c>
      <c r="J5" s="56" t="str">
        <f t="shared" si="0"/>
        <v>tong\</v>
      </c>
      <c r="L5" s="39" t="s">
        <v>53</v>
      </c>
      <c r="M5" s="46" t="str">
        <f t="shared" si="1"/>
        <v/>
      </c>
      <c r="N5" s="46" t="str">
        <f t="shared" si="2"/>
        <v/>
      </c>
      <c r="O5" s="46" t="str">
        <f t="shared" si="3"/>
        <v/>
      </c>
    </row>
    <row r="6" spans="2:15" ht="57.75">
      <c r="B6" s="60">
        <v>5</v>
      </c>
      <c r="C6" s="61">
        <v>21</v>
      </c>
      <c r="D6" s="62" t="s">
        <v>18</v>
      </c>
      <c r="E6" s="62" t="s">
        <v>17</v>
      </c>
      <c r="F6" s="63" t="s">
        <v>40</v>
      </c>
      <c r="G6" s="64" t="s">
        <v>19</v>
      </c>
      <c r="H6" s="65" t="s">
        <v>50</v>
      </c>
      <c r="I6" s="65" t="str">
        <f xml:space="preserve"> IFERROR( _xlfn.CONCAT("t", "o", _xlfn.UNICHAR(HEX2DEC(RIGHT("U+0300",4))), "ng"), "")</f>
        <v>tòng</v>
      </c>
      <c r="J6" s="65" t="str">
        <f t="shared" si="0"/>
        <v>tong_</v>
      </c>
      <c r="L6" s="38" t="s">
        <v>120</v>
      </c>
      <c r="M6" s="46">
        <f t="shared" si="1"/>
        <v>770</v>
      </c>
      <c r="N6" s="46" t="str">
        <f t="shared" si="2"/>
        <v>ô</v>
      </c>
      <c r="O6" s="46" t="str">
        <f t="shared" si="3"/>
        <v>tông</v>
      </c>
    </row>
    <row r="7" spans="2:15" ht="57.75">
      <c r="B7" s="54">
        <v>6</v>
      </c>
      <c r="C7" s="52">
        <v>22</v>
      </c>
      <c r="D7" s="55" t="s">
        <v>22</v>
      </c>
      <c r="E7" s="55" t="s">
        <v>21</v>
      </c>
      <c r="F7" s="57" t="s">
        <v>39</v>
      </c>
      <c r="G7" s="50" t="s">
        <v>23</v>
      </c>
      <c r="H7" s="56" t="s">
        <v>205</v>
      </c>
      <c r="I7" s="56" t="str">
        <f xml:space="preserve"> IFERROR( _xlfn.CONCAT("t", "o", _xlfn.UNICHAR(HEX2DEC(RIGHT("U+0302",4))), "ng"), "")</f>
        <v>tông</v>
      </c>
      <c r="J7" s="56" t="str">
        <f t="shared" si="0"/>
        <v>tong-</v>
      </c>
      <c r="L7" s="38" t="s">
        <v>177</v>
      </c>
      <c r="M7" s="46">
        <f t="shared" si="1"/>
        <v>780</v>
      </c>
      <c r="N7" s="46" t="str">
        <f t="shared" si="2"/>
        <v>ǒ</v>
      </c>
      <c r="O7" s="46" t="str">
        <f t="shared" si="3"/>
        <v>tǒng</v>
      </c>
    </row>
    <row r="8" spans="2:15" ht="57.75">
      <c r="B8" s="60">
        <v>7</v>
      </c>
      <c r="C8" s="61">
        <v>32</v>
      </c>
      <c r="D8" s="62" t="s">
        <v>6</v>
      </c>
      <c r="E8" s="62" t="s">
        <v>5</v>
      </c>
      <c r="F8" s="63" t="s">
        <v>43</v>
      </c>
      <c r="G8" s="64" t="s">
        <v>7</v>
      </c>
      <c r="H8" s="65" t="s">
        <v>47</v>
      </c>
      <c r="I8" s="65" t="str">
        <f xml:space="preserve"> IFERROR( _xlfn.CONCAT("t", "o", _xlfn.UNICHAR(HEX2DEC(RIGHT("U+0304",4))), "k"), "")</f>
        <v>tōk</v>
      </c>
      <c r="J8" s="65" t="str">
        <f xml:space="preserve"> _xlfn.CONCAT("tok", F8)</f>
        <v>tok[</v>
      </c>
      <c r="L8" s="38" t="s">
        <v>178</v>
      </c>
      <c r="M8" s="46">
        <f t="shared" si="1"/>
        <v>772</v>
      </c>
      <c r="N8" s="46" t="str">
        <f t="shared" si="2"/>
        <v>ō</v>
      </c>
      <c r="O8" s="46" t="str">
        <f xml:space="preserve"> IFERROR( _xlfn.CONCAT("t", "o", _xlfn.UNICHAR(HEX2DEC(RIGHT("U+0304",4))), "ng"), "")</f>
        <v>tōng</v>
      </c>
    </row>
    <row r="9" spans="2:15" ht="57.75">
      <c r="B9" s="54">
        <v>8</v>
      </c>
      <c r="C9" s="52">
        <v>121</v>
      </c>
      <c r="D9" s="51" t="s">
        <v>2</v>
      </c>
      <c r="E9" s="51" t="s">
        <v>1</v>
      </c>
      <c r="F9" s="57" t="s">
        <v>44</v>
      </c>
      <c r="G9" s="50" t="s">
        <v>3</v>
      </c>
      <c r="H9" s="56" t="s">
        <v>206</v>
      </c>
      <c r="I9" s="56" t="str">
        <f xml:space="preserve"> IFERROR( _xlfn.CONCAT("t", "o", _xlfn.UNICHAR(HEX2DEC(RIGHT("U+0301",4))), "k"), "")</f>
        <v>tók</v>
      </c>
      <c r="J9" s="56" t="str">
        <f xml:space="preserve"> _xlfn.CONCAT("tok", F9)</f>
        <v>tok]</v>
      </c>
      <c r="L9" s="38" t="s">
        <v>121</v>
      </c>
      <c r="M9" s="46">
        <f t="shared" si="1"/>
        <v>781</v>
      </c>
      <c r="N9" s="46" t="str">
        <f t="shared" si="2"/>
        <v>o̍</v>
      </c>
      <c r="O9" s="46" t="str">
        <f t="shared" si="3"/>
        <v>to̍ng</v>
      </c>
    </row>
    <row r="10" spans="2:15" ht="42">
      <c r="L10" s="38" t="s">
        <v>122</v>
      </c>
      <c r="M10" s="46">
        <f t="shared" si="1"/>
        <v>779</v>
      </c>
      <c r="N10" s="46" t="str">
        <f t="shared" si="2"/>
        <v>ő</v>
      </c>
      <c r="O10" s="46" t="str">
        <f t="shared" si="3"/>
        <v>tőng</v>
      </c>
    </row>
    <row r="18" spans="2:10" ht="57.75" outlineLevel="1">
      <c r="B18" s="9">
        <v>4</v>
      </c>
      <c r="C18" s="10">
        <v>53</v>
      </c>
      <c r="D18" s="11" t="s">
        <v>8</v>
      </c>
      <c r="E18" s="11"/>
      <c r="F18" s="10"/>
      <c r="G18" s="15" t="s">
        <v>9</v>
      </c>
      <c r="H18" s="15"/>
      <c r="I18" s="11" t="str">
        <f xml:space="preserve"> "dong" &amp; J18</f>
        <v>dong6</v>
      </c>
      <c r="J18" s="10">
        <v>6</v>
      </c>
    </row>
  </sheetData>
  <mergeCells count="1">
    <mergeCell ref="H2:I2"/>
  </mergeCells>
  <phoneticPr fontId="1" type="noConversion"/>
  <hyperlinks>
    <hyperlink ref="L3" r:id="rId1" display="https://zi-hi.com/sp/uni/0301" xr:uid="{04B8C98D-F169-4293-98FF-A169289A30B8}"/>
    <hyperlink ref="L4" r:id="rId2" display="https://zi-hi.com/sp/uni/0300" xr:uid="{164A5C7C-0930-406F-8911-B14C8B68FEB2}"/>
    <hyperlink ref="L6" r:id="rId3" display="https://zi-hi.com/sp/uni/0302" xr:uid="{054188C0-C2E4-4E26-819B-D1BC7F53A240}"/>
    <hyperlink ref="L7" r:id="rId4" display="https://zi-hi.com/sp/uni/030C" xr:uid="{EADE347E-F69C-41CA-8055-93A08EA6B08A}"/>
    <hyperlink ref="L8" r:id="rId5" display="https://zi-hi.com/sp/uni/0304" xr:uid="{253F7A72-1E1E-44A5-8B9C-137C6D2B9AA1}"/>
    <hyperlink ref="L9" r:id="rId6" display="https://zi-hi.com/sp/uni/030D" xr:uid="{F842F116-D33E-49E6-9149-1B6667AAC917}"/>
    <hyperlink ref="L10" r:id="rId7" display="https://zi-hi.com/sp/uni/030B" xr:uid="{39F28880-C71D-4A85-9BBE-350E7DDA49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23BE-64D2-4E8C-B115-C260854DB41D}">
  <dimension ref="B2:R18"/>
  <sheetViews>
    <sheetView showGridLines="0" workbookViewId="0">
      <selection activeCell="C11" sqref="C11"/>
    </sheetView>
  </sheetViews>
  <sheetFormatPr defaultRowHeight="16.5" outlineLevelRow="1"/>
  <cols>
    <col min="1" max="1" width="4.125" customWidth="1"/>
    <col min="2" max="3" width="14.75" customWidth="1"/>
    <col min="4" max="6" width="15.375" customWidth="1"/>
    <col min="7" max="7" width="10.5" bestFit="1" customWidth="1"/>
    <col min="8" max="11" width="15" customWidth="1"/>
    <col min="13" max="13" width="15.375" customWidth="1"/>
  </cols>
  <sheetData>
    <row r="2" spans="2:18" ht="25.5">
      <c r="B2" s="33" t="s">
        <v>33</v>
      </c>
      <c r="C2" s="35"/>
      <c r="D2" s="34"/>
      <c r="E2" s="14" t="s">
        <v>32</v>
      </c>
      <c r="F2" s="14" t="s">
        <v>31</v>
      </c>
      <c r="G2" s="13" t="s">
        <v>30</v>
      </c>
      <c r="H2" s="13" t="s">
        <v>37</v>
      </c>
      <c r="I2" s="13" t="s">
        <v>199</v>
      </c>
      <c r="J2" s="14" t="s">
        <v>29</v>
      </c>
      <c r="K2" s="13" t="s">
        <v>27</v>
      </c>
    </row>
    <row r="3" spans="2:18" ht="57.75">
      <c r="B3" s="50" t="s">
        <v>26</v>
      </c>
      <c r="C3" s="56" t="str">
        <f xml:space="preserve"> IFERROR( _xlfn.CONCAT("t", "o", _xlfn.UNICHAR(HEX2DEC(RIGHT("U+0304",4))), "ng"), "")</f>
        <v>tōng</v>
      </c>
      <c r="D3" s="56" t="str">
        <f xml:space="preserve"> "tong" &amp; I3</f>
        <v>tong1</v>
      </c>
      <c r="E3" s="51" t="s">
        <v>25</v>
      </c>
      <c r="F3" s="51" t="s">
        <v>24</v>
      </c>
      <c r="G3" s="52">
        <v>44</v>
      </c>
      <c r="H3" s="57" t="s">
        <v>200</v>
      </c>
      <c r="I3" s="54">
        <v>1</v>
      </c>
      <c r="J3" s="52">
        <v>1</v>
      </c>
      <c r="K3" s="53" t="s">
        <v>4</v>
      </c>
      <c r="M3" s="16" t="s">
        <v>192</v>
      </c>
      <c r="O3" s="38" t="s">
        <v>185</v>
      </c>
      <c r="P3" s="46">
        <f xml:space="preserve"> IFERROR( HEX2DEC(RIGHT(O3,4)), "")</f>
        <v>769</v>
      </c>
      <c r="Q3" s="46" t="str">
        <f xml:space="preserve"> IFERROR( _xlfn.CONCAT("o", _xlfn.UNICHAR(HEX2DEC(RIGHT(O3,4)))), "")</f>
        <v>ó</v>
      </c>
      <c r="R3" s="46" t="str">
        <f xml:space="preserve"> IFERROR( _xlfn.CONCAT("t", "o", _xlfn.UNICHAR(HEX2DEC(RIGHT(O3,4))), "ng"), "")</f>
        <v>tóng</v>
      </c>
    </row>
    <row r="4" spans="2:18" ht="57.75">
      <c r="B4" s="50" t="s">
        <v>15</v>
      </c>
      <c r="C4" s="56" t="str">
        <f xml:space="preserve"> IFERROR( _xlfn.CONCAT("t", "o", _xlfn.UNICHAR(HEX2DEC(RIGHT("U+0301",4))), "ng"), "")</f>
        <v>tóng</v>
      </c>
      <c r="D4" s="56" t="str">
        <f xml:space="preserve"> "tong" &amp; I4</f>
        <v>tong2</v>
      </c>
      <c r="E4" s="51" t="s">
        <v>14</v>
      </c>
      <c r="F4" s="51" t="s">
        <v>13</v>
      </c>
      <c r="G4" s="52">
        <v>13</v>
      </c>
      <c r="H4" s="57" t="s">
        <v>42</v>
      </c>
      <c r="I4" s="54">
        <v>2</v>
      </c>
      <c r="J4" s="52">
        <v>5</v>
      </c>
      <c r="K4" s="53" t="s">
        <v>12</v>
      </c>
      <c r="M4" s="17" t="s">
        <v>193</v>
      </c>
      <c r="O4" s="38" t="s">
        <v>186</v>
      </c>
      <c r="P4" s="46">
        <f t="shared" ref="P4:P10" si="0" xml:space="preserve"> IFERROR( HEX2DEC(RIGHT(O4,4)), "")</f>
        <v>768</v>
      </c>
      <c r="Q4" s="46" t="str">
        <f t="shared" ref="Q4:Q10" si="1" xml:space="preserve"> IFERROR( _xlfn.CONCAT("o", _xlfn.UNICHAR(HEX2DEC(RIGHT(O4,4)))), "")</f>
        <v>ò</v>
      </c>
      <c r="R4" s="46" t="str">
        <f t="shared" ref="R4:R10" si="2" xml:space="preserve"> IFERROR( _xlfn.CONCAT("t", "o", _xlfn.UNICHAR(HEX2DEC(RIGHT(O4,4))), "ng"), "")</f>
        <v>tòng</v>
      </c>
    </row>
    <row r="5" spans="2:18" ht="57.75">
      <c r="B5" s="50" t="s">
        <v>9</v>
      </c>
      <c r="C5" s="56" t="str">
        <f xml:space="preserve"> IFERROR( _xlfn.CONCAT("t", "o", _xlfn.UNICHAR(HEX2DEC(RIGHT("U+030C",4))), "ng"), "")</f>
        <v>tǒng</v>
      </c>
      <c r="D5" s="56" t="str">
        <f xml:space="preserve"> "tong" &amp; I5</f>
        <v>tong3</v>
      </c>
      <c r="E5" s="55" t="s">
        <v>36</v>
      </c>
      <c r="F5" s="55" t="s">
        <v>11</v>
      </c>
      <c r="G5" s="52">
        <v>53</v>
      </c>
      <c r="H5" s="57" t="s">
        <v>41</v>
      </c>
      <c r="I5" s="54">
        <v>3</v>
      </c>
      <c r="J5" s="52">
        <v>2</v>
      </c>
      <c r="K5" s="53" t="s">
        <v>10</v>
      </c>
      <c r="M5" s="16" t="s">
        <v>4</v>
      </c>
      <c r="O5" s="39" t="s">
        <v>53</v>
      </c>
      <c r="P5" s="46" t="str">
        <f t="shared" si="0"/>
        <v/>
      </c>
      <c r="Q5" s="46" t="str">
        <f t="shared" si="1"/>
        <v/>
      </c>
      <c r="R5" s="46" t="str">
        <f t="shared" si="2"/>
        <v/>
      </c>
    </row>
    <row r="6" spans="2:18" ht="57.75">
      <c r="B6" s="50" t="s">
        <v>19</v>
      </c>
      <c r="C6" s="56" t="str">
        <f xml:space="preserve"> IFERROR( _xlfn.CONCAT("t", "o", _xlfn.UNICHAR(HEX2DEC(RIGHT("U+0300",4))), "ng"), "")</f>
        <v>tòng</v>
      </c>
      <c r="D6" s="56" t="str">
        <f xml:space="preserve"> "tong" &amp; I6</f>
        <v>tong5</v>
      </c>
      <c r="E6" s="51" t="s">
        <v>18</v>
      </c>
      <c r="F6" s="51" t="s">
        <v>17</v>
      </c>
      <c r="G6" s="52">
        <v>21</v>
      </c>
      <c r="H6" s="57" t="s">
        <v>40</v>
      </c>
      <c r="I6" s="54">
        <v>5</v>
      </c>
      <c r="J6" s="52">
        <v>3</v>
      </c>
      <c r="K6" s="53" t="s">
        <v>16</v>
      </c>
      <c r="M6" s="17" t="s">
        <v>194</v>
      </c>
      <c r="O6" s="38" t="s">
        <v>120</v>
      </c>
      <c r="P6" s="46">
        <f t="shared" si="0"/>
        <v>770</v>
      </c>
      <c r="Q6" s="46" t="str">
        <f t="shared" si="1"/>
        <v>ô</v>
      </c>
      <c r="R6" s="46" t="str">
        <f t="shared" si="2"/>
        <v>tông</v>
      </c>
    </row>
    <row r="7" spans="2:18" ht="57.75">
      <c r="B7" s="50" t="s">
        <v>23</v>
      </c>
      <c r="C7" s="56" t="str">
        <f xml:space="preserve"> IFERROR( _xlfn.CONCAT("t", "o", _xlfn.UNICHAR(HEX2DEC(RIGHT("U+0302",4))), "ng"), "")</f>
        <v>tông</v>
      </c>
      <c r="D7" s="56" t="str">
        <f xml:space="preserve"> "tong" &amp; I7</f>
        <v>tong6</v>
      </c>
      <c r="E7" s="55" t="s">
        <v>22</v>
      </c>
      <c r="F7" s="55" t="s">
        <v>21</v>
      </c>
      <c r="G7" s="52">
        <v>22</v>
      </c>
      <c r="H7" s="57" t="s">
        <v>39</v>
      </c>
      <c r="I7" s="54">
        <v>6</v>
      </c>
      <c r="J7" s="52">
        <v>7</v>
      </c>
      <c r="K7" s="53" t="s">
        <v>20</v>
      </c>
      <c r="M7" s="16" t="s">
        <v>195</v>
      </c>
      <c r="O7" s="38" t="s">
        <v>177</v>
      </c>
      <c r="P7" s="46">
        <f t="shared" si="0"/>
        <v>780</v>
      </c>
      <c r="Q7" s="46" t="str">
        <f t="shared" si="1"/>
        <v>ǒ</v>
      </c>
      <c r="R7" s="46" t="str">
        <f t="shared" si="2"/>
        <v>tǒng</v>
      </c>
    </row>
    <row r="8" spans="2:18" ht="57.75">
      <c r="B8" s="50" t="s">
        <v>7</v>
      </c>
      <c r="C8" s="56" t="str">
        <f xml:space="preserve"> IFERROR( _xlfn.CONCAT("t", "o", _xlfn.UNICHAR(HEX2DEC(RIGHT("U+0304",4))), "k"), "")</f>
        <v>tōk</v>
      </c>
      <c r="D8" s="56" t="str">
        <f xml:space="preserve"> "tong" &amp; I8</f>
        <v>tong7</v>
      </c>
      <c r="E8" s="55" t="s">
        <v>6</v>
      </c>
      <c r="F8" s="55" t="s">
        <v>5</v>
      </c>
      <c r="G8" s="52">
        <v>32</v>
      </c>
      <c r="H8" s="57" t="s">
        <v>43</v>
      </c>
      <c r="I8" s="54">
        <v>7</v>
      </c>
      <c r="J8" s="52">
        <v>4</v>
      </c>
      <c r="K8" s="53" t="s">
        <v>4</v>
      </c>
      <c r="M8" s="17" t="s">
        <v>196</v>
      </c>
      <c r="O8" s="38" t="s">
        <v>178</v>
      </c>
      <c r="P8" s="46">
        <f t="shared" si="0"/>
        <v>772</v>
      </c>
      <c r="Q8" s="46" t="str">
        <f t="shared" si="1"/>
        <v>ō</v>
      </c>
      <c r="R8" s="46" t="str">
        <f xml:space="preserve"> IFERROR( _xlfn.CONCAT("t", "o", _xlfn.UNICHAR(HEX2DEC(RIGHT("U+0304",4))), "ng"), "")</f>
        <v>tōng</v>
      </c>
    </row>
    <row r="9" spans="2:18" ht="57.75">
      <c r="B9" s="50" t="s">
        <v>3</v>
      </c>
      <c r="C9" s="56" t="str">
        <f xml:space="preserve"> IFERROR( _xlfn.CONCAT("t", "o", _xlfn.UNICHAR(HEX2DEC(RIGHT("U+0301",4))), "k"), "")</f>
        <v>tók</v>
      </c>
      <c r="D9" s="56" t="str">
        <f xml:space="preserve"> "tong" &amp; I9</f>
        <v>tong8</v>
      </c>
      <c r="E9" s="51" t="s">
        <v>2</v>
      </c>
      <c r="F9" s="51" t="s">
        <v>1</v>
      </c>
      <c r="G9" s="52">
        <v>121</v>
      </c>
      <c r="H9" s="57" t="s">
        <v>44</v>
      </c>
      <c r="I9" s="54">
        <v>8</v>
      </c>
      <c r="J9" s="52">
        <v>8</v>
      </c>
      <c r="K9" s="53" t="s">
        <v>0</v>
      </c>
      <c r="M9" s="16" t="s">
        <v>197</v>
      </c>
      <c r="O9" s="38" t="s">
        <v>121</v>
      </c>
      <c r="P9" s="46">
        <f t="shared" si="0"/>
        <v>781</v>
      </c>
      <c r="Q9" s="46" t="str">
        <f t="shared" si="1"/>
        <v>o̍</v>
      </c>
      <c r="R9" s="46" t="str">
        <f t="shared" si="2"/>
        <v>to̍ng</v>
      </c>
    </row>
    <row r="10" spans="2:18" ht="42">
      <c r="M10" t="s">
        <v>198</v>
      </c>
      <c r="O10" s="38" t="s">
        <v>122</v>
      </c>
      <c r="P10" s="46">
        <f t="shared" si="0"/>
        <v>779</v>
      </c>
      <c r="Q10" s="46" t="str">
        <f t="shared" si="1"/>
        <v>ő</v>
      </c>
      <c r="R10" s="46" t="str">
        <f t="shared" si="2"/>
        <v>tőng</v>
      </c>
    </row>
    <row r="18" spans="2:13" ht="57.75" outlineLevel="1">
      <c r="B18" s="15" t="s">
        <v>9</v>
      </c>
      <c r="C18" s="15"/>
      <c r="D18" s="11" t="str">
        <f xml:space="preserve"> "dong" &amp; J18</f>
        <v>dong6</v>
      </c>
      <c r="E18" s="11" t="s">
        <v>8</v>
      </c>
      <c r="F18" s="11"/>
      <c r="G18" s="10">
        <v>53</v>
      </c>
      <c r="H18" s="10"/>
      <c r="I18" s="9">
        <v>4</v>
      </c>
      <c r="J18" s="10">
        <v>6</v>
      </c>
      <c r="K18" s="8" t="s">
        <v>4</v>
      </c>
      <c r="M18" s="11"/>
    </row>
  </sheetData>
  <mergeCells count="1">
    <mergeCell ref="B2:D2"/>
  </mergeCells>
  <phoneticPr fontId="1" type="noConversion"/>
  <hyperlinks>
    <hyperlink ref="O3" r:id="rId1" display="https://zi-hi.com/sp/uni/0301" xr:uid="{F092E75C-C8D0-48B8-A292-3DC2F44B85AC}"/>
    <hyperlink ref="O4" r:id="rId2" display="https://zi-hi.com/sp/uni/0300" xr:uid="{E1710BC5-4279-4535-9126-EE2877167999}"/>
    <hyperlink ref="O6" r:id="rId3" display="https://zi-hi.com/sp/uni/0302" xr:uid="{B66FC17B-A908-40F7-9A0F-4BA79BCD69B1}"/>
    <hyperlink ref="O7" r:id="rId4" display="https://zi-hi.com/sp/uni/030C" xr:uid="{D42FA3A9-247B-464A-9466-62E1F31ACDF2}"/>
    <hyperlink ref="O8" r:id="rId5" display="https://zi-hi.com/sp/uni/0304" xr:uid="{AE4AB8CC-8DD7-4CAE-8E5E-7B1A59D6EBBB}"/>
    <hyperlink ref="O9" r:id="rId6" display="https://zi-hi.com/sp/uni/030D" xr:uid="{93783542-812A-404B-A549-F62CA5246808}"/>
    <hyperlink ref="O10" r:id="rId7" display="https://zi-hi.com/sp/uni/030B" xr:uid="{1BB8526F-4E34-4DCA-B783-A0AA70BDD5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4A8B-8D3F-4AFC-B56E-E3C6E782C4A4}">
  <dimension ref="B2:L18"/>
  <sheetViews>
    <sheetView showGridLines="0" workbookViewId="0">
      <selection activeCell="B3" sqref="B3:B9"/>
    </sheetView>
  </sheetViews>
  <sheetFormatPr defaultRowHeight="16.5" outlineLevelRow="1"/>
  <cols>
    <col min="1" max="1" width="4.125" customWidth="1"/>
    <col min="2" max="3" width="14.75" customWidth="1"/>
    <col min="4" max="6" width="15.375" customWidth="1"/>
    <col min="7" max="7" width="10.5" bestFit="1" customWidth="1"/>
    <col min="8" max="10" width="14.375" customWidth="1"/>
    <col min="12" max="12" width="15.375" customWidth="1"/>
  </cols>
  <sheetData>
    <row r="2" spans="2:12" ht="25.5">
      <c r="B2" s="33" t="s">
        <v>33</v>
      </c>
      <c r="C2" s="35"/>
      <c r="D2" s="34"/>
      <c r="E2" s="14" t="s">
        <v>32</v>
      </c>
      <c r="F2" s="14" t="s">
        <v>31</v>
      </c>
      <c r="G2" s="13" t="s">
        <v>30</v>
      </c>
      <c r="H2" s="13" t="s">
        <v>27</v>
      </c>
      <c r="I2" s="14" t="s">
        <v>29</v>
      </c>
      <c r="J2" s="13" t="s">
        <v>28</v>
      </c>
    </row>
    <row r="3" spans="2:12" ht="65.25">
      <c r="B3" s="48" t="s">
        <v>26</v>
      </c>
      <c r="C3" s="18" t="s">
        <v>46</v>
      </c>
      <c r="D3" s="16" t="str">
        <f xml:space="preserve"> "tong" &amp; I3</f>
        <v>tong1</v>
      </c>
      <c r="E3" s="12" t="s">
        <v>25</v>
      </c>
      <c r="F3" s="12" t="s">
        <v>24</v>
      </c>
      <c r="G3" s="7">
        <v>44</v>
      </c>
      <c r="H3" s="5" t="s">
        <v>4</v>
      </c>
      <c r="I3" s="7">
        <v>1</v>
      </c>
      <c r="J3" s="6">
        <v>1</v>
      </c>
      <c r="L3" s="16" t="s">
        <v>192</v>
      </c>
    </row>
    <row r="4" spans="2:12" ht="65.25">
      <c r="B4" s="49" t="s">
        <v>23</v>
      </c>
      <c r="C4" s="19"/>
      <c r="D4" s="17" t="str">
        <f t="shared" ref="D4:D7" si="0" xml:space="preserve"> "tong" &amp; I4</f>
        <v>tong7</v>
      </c>
      <c r="E4" s="4" t="s">
        <v>22</v>
      </c>
      <c r="F4" s="4" t="s">
        <v>21</v>
      </c>
      <c r="G4" s="3">
        <v>22</v>
      </c>
      <c r="H4" s="1" t="s">
        <v>20</v>
      </c>
      <c r="I4" s="3">
        <v>7</v>
      </c>
      <c r="J4" s="2">
        <v>6</v>
      </c>
      <c r="L4" s="17" t="s">
        <v>193</v>
      </c>
    </row>
    <row r="5" spans="2:12" ht="65.25">
      <c r="B5" s="48" t="s">
        <v>19</v>
      </c>
      <c r="C5" s="18"/>
      <c r="D5" s="16" t="str">
        <f t="shared" si="0"/>
        <v>tong3</v>
      </c>
      <c r="E5" s="12" t="s">
        <v>18</v>
      </c>
      <c r="F5" s="12" t="s">
        <v>17</v>
      </c>
      <c r="G5" s="7">
        <v>21</v>
      </c>
      <c r="H5" s="5" t="s">
        <v>16</v>
      </c>
      <c r="I5" s="7">
        <v>3</v>
      </c>
      <c r="J5" s="6">
        <v>5</v>
      </c>
      <c r="L5" s="16" t="s">
        <v>4</v>
      </c>
    </row>
    <row r="6" spans="2:12" ht="65.25">
      <c r="B6" s="49" t="s">
        <v>9</v>
      </c>
      <c r="C6" s="19"/>
      <c r="D6" s="17" t="str">
        <f xml:space="preserve"> "tong" &amp; I6</f>
        <v>tong2</v>
      </c>
      <c r="E6" s="4" t="s">
        <v>36</v>
      </c>
      <c r="F6" s="4" t="s">
        <v>11</v>
      </c>
      <c r="G6" s="3">
        <v>53</v>
      </c>
      <c r="H6" s="1" t="s">
        <v>10</v>
      </c>
      <c r="I6" s="3">
        <v>2</v>
      </c>
      <c r="J6" s="2">
        <v>3</v>
      </c>
      <c r="L6" s="17" t="s">
        <v>194</v>
      </c>
    </row>
    <row r="7" spans="2:12" ht="65.25">
      <c r="B7" s="48" t="s">
        <v>15</v>
      </c>
      <c r="C7" s="18"/>
      <c r="D7" s="16" t="str">
        <f t="shared" si="0"/>
        <v>tong5</v>
      </c>
      <c r="E7" s="12" t="s">
        <v>14</v>
      </c>
      <c r="F7" s="12" t="s">
        <v>13</v>
      </c>
      <c r="G7" s="7">
        <v>13</v>
      </c>
      <c r="H7" s="5" t="s">
        <v>12</v>
      </c>
      <c r="I7" s="7">
        <v>5</v>
      </c>
      <c r="J7" s="6">
        <v>2</v>
      </c>
      <c r="L7" s="16" t="s">
        <v>195</v>
      </c>
    </row>
    <row r="8" spans="2:12" ht="65.25">
      <c r="B8" s="49" t="s">
        <v>7</v>
      </c>
      <c r="C8" s="19"/>
      <c r="D8" s="17" t="s">
        <v>34</v>
      </c>
      <c r="E8" s="4" t="s">
        <v>6</v>
      </c>
      <c r="F8" s="4" t="s">
        <v>5</v>
      </c>
      <c r="G8" s="3">
        <v>32</v>
      </c>
      <c r="H8" s="1" t="s">
        <v>4</v>
      </c>
      <c r="I8" s="3">
        <v>4</v>
      </c>
      <c r="J8" s="2">
        <v>7</v>
      </c>
      <c r="L8" s="17" t="s">
        <v>196</v>
      </c>
    </row>
    <row r="9" spans="2:12" ht="65.25">
      <c r="B9" s="48" t="s">
        <v>3</v>
      </c>
      <c r="C9" s="18"/>
      <c r="D9" s="16" t="s">
        <v>35</v>
      </c>
      <c r="E9" s="12" t="s">
        <v>2</v>
      </c>
      <c r="F9" s="12" t="s">
        <v>1</v>
      </c>
      <c r="G9" s="7">
        <v>121</v>
      </c>
      <c r="H9" s="5" t="s">
        <v>0</v>
      </c>
      <c r="I9" s="7">
        <v>8</v>
      </c>
      <c r="J9" s="6">
        <v>8</v>
      </c>
      <c r="L9" s="16" t="s">
        <v>197</v>
      </c>
    </row>
    <row r="10" spans="2:12">
      <c r="L10" t="s">
        <v>198</v>
      </c>
    </row>
    <row r="18" spans="2:12" ht="57.75" outlineLevel="1">
      <c r="B18" s="15" t="s">
        <v>9</v>
      </c>
      <c r="C18" s="15"/>
      <c r="D18" s="11" t="str">
        <f xml:space="preserve"> "dong" &amp; I18</f>
        <v>dong6</v>
      </c>
      <c r="E18" s="11" t="s">
        <v>8</v>
      </c>
      <c r="F18" s="11"/>
      <c r="G18" s="10">
        <v>53</v>
      </c>
      <c r="H18" s="8" t="s">
        <v>4</v>
      </c>
      <c r="I18" s="10">
        <v>6</v>
      </c>
      <c r="J18" s="9">
        <v>4</v>
      </c>
      <c r="L18" s="11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B3E1-D1E0-449D-ACB7-CFE9630C3C54}">
  <dimension ref="B1:S23"/>
  <sheetViews>
    <sheetView workbookViewId="0">
      <selection activeCell="T10" sqref="P3:T10"/>
    </sheetView>
  </sheetViews>
  <sheetFormatPr defaultRowHeight="30"/>
  <cols>
    <col min="2" max="2" width="13.125" customWidth="1"/>
    <col min="3" max="10" width="13" customWidth="1"/>
    <col min="13" max="13" width="9" style="46"/>
    <col min="16" max="16" width="9.125" customWidth="1"/>
    <col min="17" max="19" width="13.375" style="47" customWidth="1"/>
  </cols>
  <sheetData>
    <row r="1" spans="2:19">
      <c r="B1" s="36"/>
      <c r="C1" s="36"/>
      <c r="D1" s="36"/>
      <c r="E1" s="36"/>
      <c r="F1" s="36"/>
      <c r="G1" s="36"/>
      <c r="H1" s="36"/>
      <c r="I1" s="36"/>
      <c r="J1" s="36"/>
    </row>
    <row r="2" spans="2:19">
      <c r="B2" s="37" t="s">
        <v>51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</row>
    <row r="3" spans="2:19" ht="42">
      <c r="B3" s="37" t="s">
        <v>52</v>
      </c>
      <c r="C3" s="38" t="s">
        <v>185</v>
      </c>
      <c r="D3" s="38" t="s">
        <v>186</v>
      </c>
      <c r="E3" s="39" t="s">
        <v>53</v>
      </c>
      <c r="F3" s="38" t="s">
        <v>120</v>
      </c>
      <c r="G3" s="38" t="s">
        <v>177</v>
      </c>
      <c r="H3" s="38" t="s">
        <v>178</v>
      </c>
      <c r="I3" s="38" t="s">
        <v>121</v>
      </c>
      <c r="J3" s="38" t="s">
        <v>122</v>
      </c>
      <c r="P3" s="38" t="s">
        <v>185</v>
      </c>
      <c r="Q3" s="46">
        <f xml:space="preserve"> IFERROR( HEX2DEC(RIGHT(P3,4)), "")</f>
        <v>769</v>
      </c>
      <c r="R3" s="46" t="str">
        <f xml:space="preserve"> IFERROR( _xlfn.CONCAT("o", _xlfn.UNICHAR(HEX2DEC(RIGHT(P3,4)))), "")</f>
        <v>ó</v>
      </c>
      <c r="S3" s="46" t="str">
        <f xml:space="preserve"> IFERROR( _xlfn.CONCAT("t", "o", _xlfn.UNICHAR(HEX2DEC(RIGHT(P3,4))), "ng"), "")</f>
        <v>tóng</v>
      </c>
    </row>
    <row r="4" spans="2:19" ht="42">
      <c r="B4" s="40" t="s">
        <v>54</v>
      </c>
      <c r="C4" s="41"/>
      <c r="D4" s="41"/>
      <c r="E4" s="41"/>
      <c r="F4" s="41"/>
      <c r="G4" s="41"/>
      <c r="H4" s="41"/>
      <c r="I4" s="41"/>
      <c r="J4" s="42"/>
      <c r="P4" s="38" t="s">
        <v>186</v>
      </c>
      <c r="Q4" s="46">
        <f t="shared" ref="Q4:Q10" si="0" xml:space="preserve"> IFERROR( HEX2DEC(RIGHT(P4,4)), "")</f>
        <v>768</v>
      </c>
      <c r="R4" s="46" t="str">
        <f t="shared" ref="R4:R10" si="1" xml:space="preserve"> IFERROR( _xlfn.CONCAT("o", _xlfn.UNICHAR(HEX2DEC(RIGHT(P4,4)))), "")</f>
        <v>ò</v>
      </c>
      <c r="S4" s="46" t="str">
        <f t="shared" ref="S4:S10" si="2" xml:space="preserve"> IFERROR( _xlfn.CONCAT("t", "o", _xlfn.UNICHAR(HEX2DEC(RIGHT(P4,4))), "ng"), "")</f>
        <v>tòng</v>
      </c>
    </row>
    <row r="5" spans="2:19">
      <c r="B5" s="37" t="s">
        <v>55</v>
      </c>
      <c r="C5" s="43" t="s">
        <v>123</v>
      </c>
      <c r="D5" s="43" t="s">
        <v>124</v>
      </c>
      <c r="E5" s="44" t="s">
        <v>56</v>
      </c>
      <c r="F5" s="43" t="s">
        <v>125</v>
      </c>
      <c r="G5" s="43" t="s">
        <v>179</v>
      </c>
      <c r="H5" s="43" t="s">
        <v>126</v>
      </c>
      <c r="I5" s="44" t="s">
        <v>57</v>
      </c>
      <c r="J5" s="44" t="s">
        <v>58</v>
      </c>
      <c r="L5" t="s">
        <v>190</v>
      </c>
      <c r="M5" s="46">
        <f xml:space="preserve"> HEX2DEC(RIGHT(C3,4))</f>
        <v>769</v>
      </c>
      <c r="P5" s="39" t="s">
        <v>53</v>
      </c>
      <c r="Q5" s="46" t="str">
        <f t="shared" si="0"/>
        <v/>
      </c>
      <c r="R5" s="46" t="str">
        <f t="shared" si="1"/>
        <v/>
      </c>
      <c r="S5" s="46" t="str">
        <f t="shared" si="2"/>
        <v/>
      </c>
    </row>
    <row r="6" spans="2:19" ht="42">
      <c r="B6" s="37" t="s">
        <v>59</v>
      </c>
      <c r="C6" s="43" t="s">
        <v>127</v>
      </c>
      <c r="D6" s="43" t="s">
        <v>128</v>
      </c>
      <c r="E6" s="44" t="s">
        <v>60</v>
      </c>
      <c r="F6" s="43" t="s">
        <v>129</v>
      </c>
      <c r="G6" s="43" t="s">
        <v>130</v>
      </c>
      <c r="H6" s="43" t="s">
        <v>131</v>
      </c>
      <c r="I6" s="44" t="s">
        <v>61</v>
      </c>
      <c r="J6" s="44" t="s">
        <v>62</v>
      </c>
      <c r="L6" t="s">
        <v>191</v>
      </c>
      <c r="M6" s="46" t="str">
        <f xml:space="preserve"> _xlfn.CONCAT("a", _xlfn.UNICHAR(M5))</f>
        <v>á</v>
      </c>
      <c r="P6" s="38" t="s">
        <v>120</v>
      </c>
      <c r="Q6" s="46">
        <f t="shared" si="0"/>
        <v>770</v>
      </c>
      <c r="R6" s="46" t="str">
        <f t="shared" si="1"/>
        <v>ô</v>
      </c>
      <c r="S6" s="46" t="str">
        <f t="shared" si="2"/>
        <v>tông</v>
      </c>
    </row>
    <row r="7" spans="2:19" ht="42">
      <c r="B7" s="37" t="s">
        <v>63</v>
      </c>
      <c r="C7" s="43" t="s">
        <v>132</v>
      </c>
      <c r="D7" s="43" t="s">
        <v>133</v>
      </c>
      <c r="E7" s="44" t="s">
        <v>64</v>
      </c>
      <c r="F7" s="43" t="s">
        <v>134</v>
      </c>
      <c r="G7" s="43" t="s">
        <v>180</v>
      </c>
      <c r="H7" s="43" t="s">
        <v>135</v>
      </c>
      <c r="I7" s="44" t="s">
        <v>65</v>
      </c>
      <c r="J7" s="44" t="s">
        <v>66</v>
      </c>
      <c r="P7" s="38" t="s">
        <v>177</v>
      </c>
      <c r="Q7" s="46">
        <f t="shared" si="0"/>
        <v>780</v>
      </c>
      <c r="R7" s="46" t="str">
        <f t="shared" si="1"/>
        <v>ǒ</v>
      </c>
      <c r="S7" s="46" t="str">
        <f t="shared" si="2"/>
        <v>tǒng</v>
      </c>
    </row>
    <row r="8" spans="2:19" ht="42">
      <c r="B8" s="37" t="s">
        <v>67</v>
      </c>
      <c r="C8" s="43" t="s">
        <v>136</v>
      </c>
      <c r="D8" s="43" t="s">
        <v>137</v>
      </c>
      <c r="E8" s="44" t="s">
        <v>68</v>
      </c>
      <c r="F8" s="43" t="s">
        <v>138</v>
      </c>
      <c r="G8" s="43" t="s">
        <v>181</v>
      </c>
      <c r="H8" s="43" t="s">
        <v>139</v>
      </c>
      <c r="I8" s="44" t="s">
        <v>69</v>
      </c>
      <c r="J8" s="43" t="s">
        <v>140</v>
      </c>
      <c r="M8" s="46" t="str">
        <f xml:space="preserve"> _xlfn.CONCAT("t", "o", _xlfn.UNICHAR(M5), "ng")</f>
        <v>tóng</v>
      </c>
      <c r="P8" s="38" t="s">
        <v>178</v>
      </c>
      <c r="Q8" s="46">
        <f t="shared" si="0"/>
        <v>772</v>
      </c>
      <c r="R8" s="46" t="str">
        <f t="shared" si="1"/>
        <v>ō</v>
      </c>
      <c r="S8" s="46" t="str">
        <f xml:space="preserve"> IFERROR( _xlfn.CONCAT("t", "o", _xlfn.UNICHAR(HEX2DEC(RIGHT("U+0304",4))), "ng"), "")</f>
        <v>tōng</v>
      </c>
    </row>
    <row r="9" spans="2:19" ht="42">
      <c r="B9" s="37" t="s">
        <v>70</v>
      </c>
      <c r="C9" s="43" t="s">
        <v>141</v>
      </c>
      <c r="D9" s="43" t="s">
        <v>142</v>
      </c>
      <c r="E9" s="44" t="s">
        <v>71</v>
      </c>
      <c r="F9" s="43" t="s">
        <v>143</v>
      </c>
      <c r="G9" s="43" t="s">
        <v>182</v>
      </c>
      <c r="H9" s="43" t="s">
        <v>144</v>
      </c>
      <c r="I9" s="44" t="s">
        <v>72</v>
      </c>
      <c r="J9" s="43" t="s">
        <v>145</v>
      </c>
      <c r="P9" s="38" t="s">
        <v>121</v>
      </c>
      <c r="Q9" s="46">
        <f t="shared" si="0"/>
        <v>781</v>
      </c>
      <c r="R9" s="46" t="str">
        <f t="shared" si="1"/>
        <v>o̍</v>
      </c>
      <c r="S9" s="46" t="str">
        <f t="shared" si="2"/>
        <v>to̍ng</v>
      </c>
    </row>
    <row r="10" spans="2:19" ht="42">
      <c r="B10" s="37" t="s">
        <v>73</v>
      </c>
      <c r="C10" s="43" t="s">
        <v>146</v>
      </c>
      <c r="D10" s="44" t="s">
        <v>74</v>
      </c>
      <c r="E10" s="44" t="s">
        <v>75</v>
      </c>
      <c r="F10" s="44" t="s">
        <v>76</v>
      </c>
      <c r="G10" s="44" t="s">
        <v>77</v>
      </c>
      <c r="H10" s="44" t="s">
        <v>78</v>
      </c>
      <c r="I10" s="44" t="s">
        <v>79</v>
      </c>
      <c r="J10" s="44" t="s">
        <v>80</v>
      </c>
      <c r="P10" s="38" t="s">
        <v>122</v>
      </c>
      <c r="Q10" s="46">
        <f t="shared" si="0"/>
        <v>779</v>
      </c>
      <c r="R10" s="46" t="str">
        <f t="shared" si="1"/>
        <v>ő</v>
      </c>
      <c r="S10" s="46" t="str">
        <f t="shared" si="2"/>
        <v>tőng</v>
      </c>
    </row>
    <row r="11" spans="2:19">
      <c r="B11" s="37" t="s">
        <v>81</v>
      </c>
      <c r="C11" s="43" t="s">
        <v>147</v>
      </c>
      <c r="D11" s="43" t="s">
        <v>148</v>
      </c>
      <c r="E11" s="44" t="s">
        <v>82</v>
      </c>
      <c r="F11" s="44" t="s">
        <v>83</v>
      </c>
      <c r="G11" s="43" t="s">
        <v>149</v>
      </c>
      <c r="H11" s="44" t="s">
        <v>84</v>
      </c>
      <c r="I11" s="44" t="s">
        <v>85</v>
      </c>
      <c r="J11" s="44" t="s">
        <v>86</v>
      </c>
    </row>
    <row r="12" spans="2:19">
      <c r="B12" s="40" t="s">
        <v>87</v>
      </c>
      <c r="C12" s="41"/>
      <c r="D12" s="41"/>
      <c r="E12" s="41"/>
      <c r="F12" s="41"/>
      <c r="G12" s="41"/>
      <c r="H12" s="41"/>
      <c r="I12" s="41"/>
      <c r="J12" s="42"/>
    </row>
    <row r="13" spans="2:19">
      <c r="B13" s="37" t="s">
        <v>88</v>
      </c>
      <c r="C13" s="43" t="s">
        <v>150</v>
      </c>
      <c r="D13" s="43" t="s">
        <v>151</v>
      </c>
      <c r="E13" s="44" t="s">
        <v>89</v>
      </c>
      <c r="F13" s="43" t="s">
        <v>152</v>
      </c>
      <c r="G13" s="43" t="s">
        <v>183</v>
      </c>
      <c r="H13" s="43" t="s">
        <v>153</v>
      </c>
      <c r="I13" s="44" t="s">
        <v>90</v>
      </c>
      <c r="J13" s="44" t="s">
        <v>91</v>
      </c>
    </row>
    <row r="14" spans="2:19">
      <c r="B14" s="37" t="s">
        <v>92</v>
      </c>
      <c r="C14" s="43" t="s">
        <v>154</v>
      </c>
      <c r="D14" s="43" t="s">
        <v>155</v>
      </c>
      <c r="E14" s="44" t="s">
        <v>93</v>
      </c>
      <c r="F14" s="43" t="s">
        <v>156</v>
      </c>
      <c r="G14" s="43" t="s">
        <v>157</v>
      </c>
      <c r="H14" s="43" t="s">
        <v>158</v>
      </c>
      <c r="I14" s="44" t="s">
        <v>94</v>
      </c>
      <c r="J14" s="44" t="s">
        <v>95</v>
      </c>
    </row>
    <row r="15" spans="2:19">
      <c r="B15" s="37" t="s">
        <v>96</v>
      </c>
      <c r="C15" s="43" t="s">
        <v>159</v>
      </c>
      <c r="D15" s="43" t="s">
        <v>160</v>
      </c>
      <c r="E15" s="44" t="s">
        <v>97</v>
      </c>
      <c r="F15" s="43" t="s">
        <v>161</v>
      </c>
      <c r="G15" s="43" t="s">
        <v>162</v>
      </c>
      <c r="H15" s="43" t="s">
        <v>187</v>
      </c>
      <c r="I15" s="44" t="s">
        <v>98</v>
      </c>
      <c r="J15" s="44" t="s">
        <v>99</v>
      </c>
    </row>
    <row r="16" spans="2:19">
      <c r="B16" s="37" t="s">
        <v>100</v>
      </c>
      <c r="C16" s="43" t="s">
        <v>163</v>
      </c>
      <c r="D16" s="43" t="s">
        <v>164</v>
      </c>
      <c r="E16" s="44" t="s">
        <v>101</v>
      </c>
      <c r="F16" s="43" t="s">
        <v>165</v>
      </c>
      <c r="G16" s="43" t="s">
        <v>184</v>
      </c>
      <c r="H16" s="43" t="s">
        <v>166</v>
      </c>
      <c r="I16" s="44" t="s">
        <v>102</v>
      </c>
      <c r="J16" s="43" t="s">
        <v>167</v>
      </c>
    </row>
    <row r="17" spans="2:10">
      <c r="B17" s="37" t="s">
        <v>103</v>
      </c>
      <c r="C17" s="43" t="s">
        <v>168</v>
      </c>
      <c r="D17" s="43" t="s">
        <v>169</v>
      </c>
      <c r="E17" s="44" t="s">
        <v>104</v>
      </c>
      <c r="F17" s="43" t="s">
        <v>170</v>
      </c>
      <c r="G17" s="43" t="s">
        <v>171</v>
      </c>
      <c r="H17" s="43" t="s">
        <v>188</v>
      </c>
      <c r="I17" s="44" t="s">
        <v>105</v>
      </c>
      <c r="J17" s="43" t="s">
        <v>172</v>
      </c>
    </row>
    <row r="18" spans="2:10">
      <c r="B18" s="37" t="s">
        <v>106</v>
      </c>
      <c r="C18" s="43" t="s">
        <v>173</v>
      </c>
      <c r="D18" s="44" t="s">
        <v>107</v>
      </c>
      <c r="E18" s="44" t="s">
        <v>108</v>
      </c>
      <c r="F18" s="44" t="s">
        <v>109</v>
      </c>
      <c r="G18" s="44" t="s">
        <v>110</v>
      </c>
      <c r="H18" s="44" t="s">
        <v>111</v>
      </c>
      <c r="I18" s="44" t="s">
        <v>112</v>
      </c>
      <c r="J18" s="44" t="s">
        <v>113</v>
      </c>
    </row>
    <row r="19" spans="2:10">
      <c r="B19" s="37" t="s">
        <v>114</v>
      </c>
      <c r="C19" s="43" t="s">
        <v>174</v>
      </c>
      <c r="D19" s="43" t="s">
        <v>175</v>
      </c>
      <c r="E19" s="44" t="s">
        <v>115</v>
      </c>
      <c r="F19" s="44" t="s">
        <v>116</v>
      </c>
      <c r="G19" s="43" t="s">
        <v>176</v>
      </c>
      <c r="H19" s="44" t="s">
        <v>117</v>
      </c>
      <c r="I19" s="44" t="s">
        <v>118</v>
      </c>
      <c r="J19" s="44" t="s">
        <v>119</v>
      </c>
    </row>
    <row r="20" spans="2:10">
      <c r="B20" s="36"/>
      <c r="C20" s="36"/>
      <c r="D20" s="36"/>
      <c r="E20" s="36"/>
      <c r="F20" s="36"/>
      <c r="G20" s="36"/>
      <c r="H20" s="36"/>
      <c r="I20" s="36"/>
      <c r="J20" s="36"/>
    </row>
    <row r="21" spans="2:10">
      <c r="B21" s="36"/>
      <c r="C21" s="36"/>
      <c r="D21" s="36"/>
      <c r="E21" s="36"/>
      <c r="F21" s="36"/>
      <c r="G21" s="36"/>
      <c r="H21" s="36"/>
      <c r="I21" s="36"/>
      <c r="J21" s="36"/>
    </row>
    <row r="22" spans="2:10">
      <c r="B22" s="45" t="s">
        <v>189</v>
      </c>
      <c r="C22" s="45"/>
      <c r="D22" s="45"/>
      <c r="E22" s="45"/>
      <c r="F22" s="45"/>
      <c r="G22" s="45"/>
      <c r="H22" s="45"/>
      <c r="I22" s="45"/>
      <c r="J22" s="45"/>
    </row>
    <row r="23" spans="2:10">
      <c r="B23" s="36"/>
      <c r="C23" s="36"/>
      <c r="D23" s="36"/>
      <c r="E23" s="36"/>
      <c r="F23" s="36"/>
      <c r="G23" s="36"/>
      <c r="H23" s="36"/>
      <c r="I23" s="36"/>
      <c r="J23" s="36"/>
    </row>
  </sheetData>
  <mergeCells count="3">
    <mergeCell ref="B4:J4"/>
    <mergeCell ref="B12:J12"/>
    <mergeCell ref="B22:J22"/>
  </mergeCells>
  <phoneticPr fontId="1" type="noConversion"/>
  <hyperlinks>
    <hyperlink ref="C3" r:id="rId1" display="https://zi-hi.com/sp/uni/0301" xr:uid="{86954058-97C4-48A4-8447-9E7FDC259259}"/>
    <hyperlink ref="D3" r:id="rId2" display="https://zi-hi.com/sp/uni/0300" xr:uid="{4A7A5F0D-BB9C-491C-A425-2DBAE58E548A}"/>
    <hyperlink ref="F3" r:id="rId3" display="https://zi-hi.com/sp/uni/0302" xr:uid="{A2BB2A17-ABA1-4C49-BDA3-0F77E6105D46}"/>
    <hyperlink ref="G3" r:id="rId4" display="https://zi-hi.com/sp/uni/030C" xr:uid="{8719D9A7-34E3-4007-B91B-196788A49253}"/>
    <hyperlink ref="H3" r:id="rId5" display="https://zi-hi.com/sp/uni/0304" xr:uid="{3E64C67F-016B-4A5D-ABBA-145845EFBEAF}"/>
    <hyperlink ref="I3" r:id="rId6" display="https://zi-hi.com/sp/uni/030D" xr:uid="{4DA49773-886B-43A4-84FC-30CAF7B9C274}"/>
    <hyperlink ref="J3" r:id="rId7" display="https://zi-hi.com/sp/uni/030B" xr:uid="{898C7532-2DD5-4E08-AF67-4A9466424955}"/>
    <hyperlink ref="C5" r:id="rId8" display="https://zi-hi.com/sp/uni/00E1" xr:uid="{2F9614BC-FE6C-46DF-9260-FDC3B0C0DF12}"/>
    <hyperlink ref="D5" r:id="rId9" display="https://zi-hi.com/sp/uni/00E0" xr:uid="{EDAF804E-C7D5-4753-A67D-0ECB5E871CE1}"/>
    <hyperlink ref="F5" r:id="rId10" display="https://zi-hi.com/sp/uni/00E2" xr:uid="{18C7C986-A73D-4EFC-8BB5-11BCFDA9B0CA}"/>
    <hyperlink ref="G5" r:id="rId11" display="https://zi-hi.com/sp/uni/01CE" xr:uid="{28B52863-614A-4836-9D19-036B93815E31}"/>
    <hyperlink ref="H5" r:id="rId12" display="https://zi-hi.com/sp/uni/0101" xr:uid="{07F7F0BA-CC13-4215-B6BE-06845CE7801B}"/>
    <hyperlink ref="C6" r:id="rId13" display="https://zi-hi.com/sp/uni/00E9" xr:uid="{76CA98B4-C42E-462C-B206-39333AE1D224}"/>
    <hyperlink ref="D6" r:id="rId14" display="https://zi-hi.com/sp/uni/00E8" xr:uid="{A667CCEB-35A1-4060-A84D-3B42BE009C74}"/>
    <hyperlink ref="F6" r:id="rId15" display="https://zi-hi.com/sp/uni/00EA" xr:uid="{211E86AD-C59A-4951-B48C-11379C5ECA69}"/>
    <hyperlink ref="G6" r:id="rId16" display="https://zi-hi.com/sp/uni/011B" xr:uid="{240CE63D-947E-4D42-A2E4-9E4648EEC1AA}"/>
    <hyperlink ref="H6" r:id="rId17" display="https://zi-hi.com/sp/uni/0113" xr:uid="{E25B0590-C3A9-4940-9BDC-AE50B6C18736}"/>
    <hyperlink ref="C7" r:id="rId18" display="https://zi-hi.com/sp/uni/00ED" xr:uid="{AA2A5FBB-7107-4AB6-A3E8-1E5539FEC42B}"/>
    <hyperlink ref="D7" r:id="rId19" display="https://zi-hi.com/sp/uni/00EC" xr:uid="{C98C8B10-C662-41D9-87D9-80AEB2204E8B}"/>
    <hyperlink ref="F7" r:id="rId20" display="https://zi-hi.com/sp/uni/00EE" xr:uid="{7974942F-CB5E-484D-BE26-78A4F397E9FF}"/>
    <hyperlink ref="G7" r:id="rId21" display="https://zi-hi.com/sp/uni/01D0" xr:uid="{ADEACEC6-43FE-4B0F-95D4-1DED071636F5}"/>
    <hyperlink ref="H7" r:id="rId22" display="https://zi-hi.com/sp/uni/012B" xr:uid="{A627AA5B-8E72-4D3B-9955-4969F263BACC}"/>
    <hyperlink ref="C8" r:id="rId23" display="https://zi-hi.com/sp/uni/00F3" xr:uid="{EA3063B7-5820-464D-B37A-8FD57E0BBF8C}"/>
    <hyperlink ref="D8" r:id="rId24" display="https://zi-hi.com/sp/uni/00F2" xr:uid="{62DA8C11-C44F-459A-95F3-4B14A7C1D687}"/>
    <hyperlink ref="F8" r:id="rId25" display="https://zi-hi.com/sp/uni/00F4" xr:uid="{87976B1E-A3D7-4CD5-8C5F-4066EB019FE4}"/>
    <hyperlink ref="G8" r:id="rId26" display="https://zi-hi.com/sp/uni/01D2" xr:uid="{812D50CC-3688-45A2-A919-F5AF3F7BCC43}"/>
    <hyperlink ref="H8" r:id="rId27" display="https://zi-hi.com/sp/uni/014D" xr:uid="{4B40E8E2-611A-4C1C-8648-6603C2F6B486}"/>
    <hyperlink ref="J8" r:id="rId28" display="https://zi-hi.com/sp/uni/0151" xr:uid="{8EB7FB44-834C-4085-8A34-793BFA7E8136}"/>
    <hyperlink ref="C9" r:id="rId29" display="https://zi-hi.com/sp/uni/00FA" xr:uid="{D5E83346-AAD3-4A09-AF30-F87D9257C22F}"/>
    <hyperlink ref="D9" r:id="rId30" display="https://zi-hi.com/sp/uni/00F9" xr:uid="{DB4DD197-7D5A-4F98-9236-ECBA65B6E473}"/>
    <hyperlink ref="F9" r:id="rId31" display="https://zi-hi.com/sp/uni/00FB" xr:uid="{3A3F6B90-9971-4F85-B7D6-0E2A11C0EF46}"/>
    <hyperlink ref="G9" r:id="rId32" display="https://zi-hi.com/sp/uni/01D4" xr:uid="{6A866531-6801-492F-95D2-8C52738D8AEE}"/>
    <hyperlink ref="H9" r:id="rId33" display="https://zi-hi.com/sp/uni/016B" xr:uid="{E642D038-893C-4B44-A46C-12B7B33796D7}"/>
    <hyperlink ref="J9" r:id="rId34" display="https://zi-hi.com/sp/uni/0171" xr:uid="{2AA7A8BF-1195-4A42-BDF6-A032971EA14B}"/>
    <hyperlink ref="C10" r:id="rId35" display="https://zi-hi.com/sp/uni/1E3F" xr:uid="{53C2F032-7E6B-4D27-BD19-30731A0E7347}"/>
    <hyperlink ref="C11" r:id="rId36" display="https://zi-hi.com/sp/uni/0144" xr:uid="{22885F22-67DA-426F-9FE6-38BD61100253}"/>
    <hyperlink ref="D11" r:id="rId37" display="https://zi-hi.com/sp/uni/01F9" xr:uid="{E1F52F4A-E5EC-4F20-A019-23EB605C9464}"/>
    <hyperlink ref="G11" r:id="rId38" display="https://zi-hi.com/sp/uni/0148" xr:uid="{FE80D35B-7DA0-4B46-8E71-FF1EE86AB3D4}"/>
    <hyperlink ref="C13" r:id="rId39" display="https://zi-hi.com/sp/uni/00C1" xr:uid="{52220AC4-DB91-4C78-9432-0868C1641B1D}"/>
    <hyperlink ref="D13" r:id="rId40" display="https://zi-hi.com/sp/uni/00C0" xr:uid="{CDF15638-CF47-4842-8E52-25F410F126BD}"/>
    <hyperlink ref="F13" r:id="rId41" display="https://zi-hi.com/sp/uni/00C2" xr:uid="{51DF564C-32C4-4967-BC60-6382995B26A1}"/>
    <hyperlink ref="G13" r:id="rId42" display="https://zi-hi.com/sp/uni/01CD" xr:uid="{3BDB2240-4435-4A78-BF8E-CAAEB1CF5CBF}"/>
    <hyperlink ref="H13" r:id="rId43" display="https://zi-hi.com/sp/uni/0100" xr:uid="{FA9212CF-DBFB-4666-9652-6F5431CE2D0D}"/>
    <hyperlink ref="C14" r:id="rId44" display="https://zi-hi.com/sp/uni/00C9" xr:uid="{7CE612DC-5F09-48DD-A04C-0FAC46CC5165}"/>
    <hyperlink ref="D14" r:id="rId45" display="https://zi-hi.com/sp/uni/00C8" xr:uid="{B3C3AB4C-CBDB-4D88-B5E0-678DB38D2D3E}"/>
    <hyperlink ref="F14" r:id="rId46" display="https://zi-hi.com/sp/uni/00CA" xr:uid="{9FB23691-1351-4093-BCDF-E354C30D67DD}"/>
    <hyperlink ref="G14" r:id="rId47" display="https://zi-hi.com/sp/uni/011A" xr:uid="{B2C79576-DE8A-43D9-9C2D-D276C6A8F045}"/>
    <hyperlink ref="H14" r:id="rId48" display="https://zi-hi.com/sp/uni/0112" xr:uid="{D58B0CFD-51DB-4EB9-BB91-9EA128BBF2F4}"/>
    <hyperlink ref="C15" r:id="rId49" display="https://zi-hi.com/sp/uni/00CD" xr:uid="{75E57CE4-3D71-4B27-AA89-418543CF06F1}"/>
    <hyperlink ref="D15" r:id="rId50" display="https://zi-hi.com/sp/uni/00CC" xr:uid="{DA51180C-F276-4467-8522-EC0BD7A4B7A7}"/>
    <hyperlink ref="F15" r:id="rId51" display="https://zi-hi.com/sp/uni/00CE" xr:uid="{DA790CBC-4238-437E-92A6-393360391168}"/>
    <hyperlink ref="G15" r:id="rId52" display="https://zi-hi.com/sp/uni/01CF" xr:uid="{C95643BD-B4ED-445B-83F5-7AAB10CE14D5}"/>
    <hyperlink ref="H15" r:id="rId53" display="https://zi-hi.com/sp/uni/012A" xr:uid="{2BCEA985-4C66-498A-BEB6-35822E06CB24}"/>
    <hyperlink ref="C16" r:id="rId54" display="https://zi-hi.com/sp/uni/00D3" xr:uid="{697A2393-0570-4DDA-AA0E-0A6B3D766B70}"/>
    <hyperlink ref="D16" r:id="rId55" display="https://zi-hi.com/sp/uni/00D2" xr:uid="{4FCF3C22-019E-4986-ADCB-0445C2FEB45A}"/>
    <hyperlink ref="F16" r:id="rId56" display="https://zi-hi.com/sp/uni/00D4" xr:uid="{1BB8A185-779D-4396-966B-0390FBCA164C}"/>
    <hyperlink ref="G16" r:id="rId57" display="https://zi-hi.com/sp/uni/01D1" xr:uid="{8F67BA7F-DC79-448D-881D-3FF1D36AF67B}"/>
    <hyperlink ref="H16" r:id="rId58" display="https://zi-hi.com/sp/uni/014C" xr:uid="{7C12A4E2-4282-4887-83A4-8277DBE9278E}"/>
    <hyperlink ref="J16" r:id="rId59" display="https://zi-hi.com/sp/uni/0150" xr:uid="{3C7353F2-C0A4-460E-A2B2-E08BA03BF333}"/>
    <hyperlink ref="C17" r:id="rId60" display="https://zi-hi.com/sp/uni/00DA" xr:uid="{166EDA42-ABDF-4187-8176-398BC72C5233}"/>
    <hyperlink ref="D17" r:id="rId61" display="https://zi-hi.com/sp/uni/00D9" xr:uid="{B7F46CEC-6BC7-4A40-A8AC-781AE6CC569E}"/>
    <hyperlink ref="F17" r:id="rId62" display="https://zi-hi.com/sp/uni/00DB" xr:uid="{1BEA4527-0982-455D-A057-880A2DB25837}"/>
    <hyperlink ref="G17" r:id="rId63" display="https://zi-hi.com/sp/uni/01D3" xr:uid="{BF48416B-7A98-4AE6-8F89-4A2B9AB77E0D}"/>
    <hyperlink ref="H17" r:id="rId64" display="https://zi-hi.com/sp/uni/016A" xr:uid="{493F35C5-A241-4B45-83DA-8CF0974D5193}"/>
    <hyperlink ref="J17" r:id="rId65" display="https://zi-hi.com/sp/uni/0170" xr:uid="{07EDCF84-3C66-4935-B333-00F12C38D035}"/>
    <hyperlink ref="C18" r:id="rId66" display="https://zi-hi.com/sp/uni/1E3E" xr:uid="{36A4CD31-4369-4FB2-8037-B9D6E866EC01}"/>
    <hyperlink ref="C19" r:id="rId67" display="https://zi-hi.com/sp/uni/0143" xr:uid="{4F54B04C-F9D0-45B3-97B1-CA656D8399AA}"/>
    <hyperlink ref="D19" r:id="rId68" display="https://zi-hi.com/sp/uni/01F8" xr:uid="{E0516E1F-8151-4498-A1F9-97260F373A32}"/>
    <hyperlink ref="G19" r:id="rId69" display="https://zi-hi.com/sp/uni/0147" xr:uid="{82342D49-D267-4E83-975D-3D4ADBD80DAA}"/>
    <hyperlink ref="B22" r:id="rId70" display="https://zi-hi.com/%E7%99%BD%E8%A9%B1%E5%AD%97" xr:uid="{78CECC24-F433-481F-A8FB-399760AC631E}"/>
    <hyperlink ref="P3" r:id="rId71" display="https://zi-hi.com/sp/uni/0301" xr:uid="{E47A0E05-357D-44D6-BB23-4CDC41BD7DB8}"/>
    <hyperlink ref="P4" r:id="rId72" display="https://zi-hi.com/sp/uni/0300" xr:uid="{F0D09F54-8A7F-47BA-BC87-DD6707A2DE9F}"/>
    <hyperlink ref="P6" r:id="rId73" display="https://zi-hi.com/sp/uni/0302" xr:uid="{80F6250B-9C41-4922-9E61-6680CCEEBDD8}"/>
    <hyperlink ref="P7" r:id="rId74" display="https://zi-hi.com/sp/uni/030C" xr:uid="{113B28A3-D0EC-4451-BEE8-D08F40096D03}"/>
    <hyperlink ref="P8" r:id="rId75" display="https://zi-hi.com/sp/uni/0304" xr:uid="{8EA79A44-5B90-467C-8AF6-87FC3C3F7773}"/>
    <hyperlink ref="P9" r:id="rId76" display="https://zi-hi.com/sp/uni/030D" xr:uid="{4B0433FA-3BF4-49EB-A367-85280B364D57}"/>
    <hyperlink ref="P10" r:id="rId77" display="https://zi-hi.com/sp/uni/030B" xr:uid="{23C739AA-0ED0-41C4-8B78-D8A15DEBD53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0C03-4A49-40F3-8140-C9DAF6B05C63}">
  <dimension ref="B2:I18"/>
  <sheetViews>
    <sheetView showGridLines="0" workbookViewId="0">
      <selection activeCell="J3" sqref="J3"/>
    </sheetView>
  </sheetViews>
  <sheetFormatPr defaultRowHeight="16.5" outlineLevelRow="1"/>
  <cols>
    <col min="1" max="1" width="4.125" customWidth="1"/>
    <col min="2" max="2" width="14.75" customWidth="1"/>
    <col min="3" max="5" width="15.375" customWidth="1"/>
    <col min="6" max="6" width="10.5" bestFit="1" customWidth="1"/>
    <col min="7" max="9" width="14.375" customWidth="1"/>
  </cols>
  <sheetData>
    <row r="2" spans="2:9" ht="25.5">
      <c r="B2" s="33" t="s">
        <v>33</v>
      </c>
      <c r="C2" s="34"/>
      <c r="D2" s="14" t="s">
        <v>32</v>
      </c>
      <c r="E2" s="14" t="s">
        <v>31</v>
      </c>
      <c r="F2" s="13" t="s">
        <v>30</v>
      </c>
      <c r="G2" s="13" t="s">
        <v>27</v>
      </c>
      <c r="H2" s="14" t="s">
        <v>29</v>
      </c>
      <c r="I2" s="13" t="s">
        <v>28</v>
      </c>
    </row>
    <row r="3" spans="2:9" ht="65.25">
      <c r="B3" s="18" t="s">
        <v>26</v>
      </c>
      <c r="C3" s="16" t="str">
        <f xml:space="preserve"> "tong" &amp; H3</f>
        <v>tong1</v>
      </c>
      <c r="D3" s="12" t="s">
        <v>25</v>
      </c>
      <c r="E3" s="12" t="s">
        <v>24</v>
      </c>
      <c r="F3" s="7">
        <v>44</v>
      </c>
      <c r="G3" s="5" t="s">
        <v>4</v>
      </c>
      <c r="H3" s="7">
        <v>1</v>
      </c>
      <c r="I3" s="6">
        <v>1</v>
      </c>
    </row>
    <row r="4" spans="2:9" ht="65.25">
      <c r="B4" s="19" t="s">
        <v>23</v>
      </c>
      <c r="C4" s="17" t="str">
        <f t="shared" ref="C4:C7" si="0" xml:space="preserve"> "tong" &amp; H4</f>
        <v>tong7</v>
      </c>
      <c r="D4" s="4" t="s">
        <v>22</v>
      </c>
      <c r="E4" s="4" t="s">
        <v>21</v>
      </c>
      <c r="F4" s="3">
        <v>22</v>
      </c>
      <c r="G4" s="1" t="s">
        <v>20</v>
      </c>
      <c r="H4" s="3">
        <v>7</v>
      </c>
      <c r="I4" s="2">
        <v>6</v>
      </c>
    </row>
    <row r="5" spans="2:9" ht="65.25">
      <c r="B5" s="18" t="s">
        <v>19</v>
      </c>
      <c r="C5" s="16" t="str">
        <f t="shared" si="0"/>
        <v>tong3</v>
      </c>
      <c r="D5" s="12" t="s">
        <v>18</v>
      </c>
      <c r="E5" s="12" t="s">
        <v>17</v>
      </c>
      <c r="F5" s="7">
        <v>21</v>
      </c>
      <c r="G5" s="5" t="s">
        <v>16</v>
      </c>
      <c r="H5" s="7">
        <v>3</v>
      </c>
      <c r="I5" s="6">
        <v>5</v>
      </c>
    </row>
    <row r="6" spans="2:9" ht="65.25">
      <c r="B6" s="19" t="s">
        <v>9</v>
      </c>
      <c r="C6" s="17" t="str">
        <f xml:space="preserve"> "tong" &amp; H6</f>
        <v>tong2</v>
      </c>
      <c r="D6" s="4" t="s">
        <v>36</v>
      </c>
      <c r="E6" s="4" t="s">
        <v>11</v>
      </c>
      <c r="F6" s="3">
        <v>53</v>
      </c>
      <c r="G6" s="1" t="s">
        <v>10</v>
      </c>
      <c r="H6" s="3">
        <v>2</v>
      </c>
      <c r="I6" s="2">
        <v>3</v>
      </c>
    </row>
    <row r="7" spans="2:9" ht="65.25">
      <c r="B7" s="18" t="s">
        <v>15</v>
      </c>
      <c r="C7" s="16" t="str">
        <f t="shared" si="0"/>
        <v>tong5</v>
      </c>
      <c r="D7" s="12" t="s">
        <v>14</v>
      </c>
      <c r="E7" s="12" t="s">
        <v>13</v>
      </c>
      <c r="F7" s="7">
        <v>13</v>
      </c>
      <c r="G7" s="5" t="s">
        <v>12</v>
      </c>
      <c r="H7" s="7">
        <v>5</v>
      </c>
      <c r="I7" s="6">
        <v>2</v>
      </c>
    </row>
    <row r="8" spans="2:9" ht="65.25">
      <c r="B8" s="19" t="s">
        <v>7</v>
      </c>
      <c r="C8" s="17" t="s">
        <v>34</v>
      </c>
      <c r="D8" s="4" t="s">
        <v>6</v>
      </c>
      <c r="E8" s="4" t="s">
        <v>5</v>
      </c>
      <c r="F8" s="3">
        <v>32</v>
      </c>
      <c r="G8" s="1" t="s">
        <v>4</v>
      </c>
      <c r="H8" s="3">
        <v>4</v>
      </c>
      <c r="I8" s="2">
        <v>7</v>
      </c>
    </row>
    <row r="9" spans="2:9" ht="65.25">
      <c r="B9" s="18" t="s">
        <v>3</v>
      </c>
      <c r="C9" s="16" t="s">
        <v>35</v>
      </c>
      <c r="D9" s="12" t="s">
        <v>2</v>
      </c>
      <c r="E9" s="12" t="s">
        <v>1</v>
      </c>
      <c r="F9" s="7">
        <v>121</v>
      </c>
      <c r="G9" s="5" t="s">
        <v>0</v>
      </c>
      <c r="H9" s="7">
        <v>8</v>
      </c>
      <c r="I9" s="6">
        <v>8</v>
      </c>
    </row>
    <row r="18" spans="2:9" ht="57.75" outlineLevel="1">
      <c r="B18" s="15" t="s">
        <v>9</v>
      </c>
      <c r="C18" s="11" t="str">
        <f xml:space="preserve"> "dong" &amp; H18</f>
        <v>dong6</v>
      </c>
      <c r="D18" s="11" t="s">
        <v>8</v>
      </c>
      <c r="E18" s="11"/>
      <c r="F18" s="10">
        <v>53</v>
      </c>
      <c r="G18" s="8" t="s">
        <v>4</v>
      </c>
      <c r="H18" s="10">
        <v>6</v>
      </c>
      <c r="I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D659-7E1D-42E7-9495-78EC72F6C0D2}">
  <dimension ref="B2:J18"/>
  <sheetViews>
    <sheetView showGridLines="0" workbookViewId="0">
      <selection activeCell="B3" sqref="B3"/>
    </sheetView>
  </sheetViews>
  <sheetFormatPr defaultRowHeight="16.5" outlineLevelRow="1"/>
  <cols>
    <col min="1" max="1" width="4.125" customWidth="1"/>
    <col min="2" max="2" width="12.875" customWidth="1"/>
    <col min="3" max="3" width="13" customWidth="1"/>
    <col min="4" max="5" width="15.375" customWidth="1"/>
    <col min="6" max="6" width="10.5" bestFit="1" customWidth="1"/>
    <col min="7" max="10" width="14.625" customWidth="1"/>
  </cols>
  <sheetData>
    <row r="2" spans="2:10" ht="25.5">
      <c r="B2" s="33" t="s">
        <v>33</v>
      </c>
      <c r="C2" s="34"/>
      <c r="D2" s="14" t="s">
        <v>32</v>
      </c>
      <c r="E2" s="14" t="s">
        <v>31</v>
      </c>
      <c r="F2" s="13" t="s">
        <v>30</v>
      </c>
      <c r="G2" s="13" t="s">
        <v>37</v>
      </c>
      <c r="H2" s="13" t="s">
        <v>27</v>
      </c>
      <c r="I2" s="14" t="s">
        <v>29</v>
      </c>
      <c r="J2" s="13" t="s">
        <v>28</v>
      </c>
    </row>
    <row r="3" spans="2:10" ht="65.25">
      <c r="B3" s="18" t="s">
        <v>26</v>
      </c>
      <c r="C3" s="29" t="str">
        <f xml:space="preserve"> "tong" &amp; I3</f>
        <v>tong1</v>
      </c>
      <c r="D3" s="12" t="s">
        <v>25</v>
      </c>
      <c r="E3" s="12" t="s">
        <v>24</v>
      </c>
      <c r="F3" s="31">
        <v>44</v>
      </c>
      <c r="G3" s="20" t="s">
        <v>38</v>
      </c>
      <c r="H3" s="26" t="s">
        <v>4</v>
      </c>
      <c r="I3" s="24">
        <v>1</v>
      </c>
      <c r="J3" s="24">
        <v>1</v>
      </c>
    </row>
    <row r="4" spans="2:10" ht="65.25">
      <c r="B4" s="19" t="s">
        <v>23</v>
      </c>
      <c r="C4" s="30" t="str">
        <f t="shared" ref="C4:C7" si="0" xml:space="preserve"> "tong" &amp; I4</f>
        <v>tong7</v>
      </c>
      <c r="D4" s="4" t="s">
        <v>22</v>
      </c>
      <c r="E4" s="4" t="s">
        <v>21</v>
      </c>
      <c r="F4" s="32">
        <v>22</v>
      </c>
      <c r="G4" s="21" t="s">
        <v>39</v>
      </c>
      <c r="H4" s="27" t="s">
        <v>20</v>
      </c>
      <c r="I4" s="25">
        <v>7</v>
      </c>
      <c r="J4" s="25">
        <v>6</v>
      </c>
    </row>
    <row r="5" spans="2:10" ht="65.25">
      <c r="B5" s="18" t="s">
        <v>19</v>
      </c>
      <c r="C5" s="29" t="str">
        <f t="shared" si="0"/>
        <v>tong3</v>
      </c>
      <c r="D5" s="12" t="s">
        <v>18</v>
      </c>
      <c r="E5" s="12" t="s">
        <v>17</v>
      </c>
      <c r="F5" s="31">
        <v>21</v>
      </c>
      <c r="G5" s="20" t="s">
        <v>40</v>
      </c>
      <c r="H5" s="28" t="s">
        <v>16</v>
      </c>
      <c r="I5" s="24">
        <v>3</v>
      </c>
      <c r="J5" s="24">
        <v>5</v>
      </c>
    </row>
    <row r="6" spans="2:10" ht="65.25">
      <c r="B6" s="19" t="s">
        <v>9</v>
      </c>
      <c r="C6" s="30" t="str">
        <f xml:space="preserve"> "tong" &amp; I6</f>
        <v>tong2</v>
      </c>
      <c r="D6" s="4" t="s">
        <v>36</v>
      </c>
      <c r="E6" s="4" t="s">
        <v>11</v>
      </c>
      <c r="F6" s="32">
        <v>53</v>
      </c>
      <c r="G6" s="22" t="s">
        <v>41</v>
      </c>
      <c r="H6" s="27" t="s">
        <v>10</v>
      </c>
      <c r="I6" s="25">
        <v>2</v>
      </c>
      <c r="J6" s="25">
        <v>3</v>
      </c>
    </row>
    <row r="7" spans="2:10" ht="65.25">
      <c r="B7" s="18" t="s">
        <v>15</v>
      </c>
      <c r="C7" s="29" t="str">
        <f t="shared" si="0"/>
        <v>tong5</v>
      </c>
      <c r="D7" s="12" t="s">
        <v>14</v>
      </c>
      <c r="E7" s="12" t="s">
        <v>13</v>
      </c>
      <c r="F7" s="31">
        <v>13</v>
      </c>
      <c r="G7" s="23" t="s">
        <v>42</v>
      </c>
      <c r="H7" s="28" t="s">
        <v>12</v>
      </c>
      <c r="I7" s="24">
        <v>5</v>
      </c>
      <c r="J7" s="24">
        <v>2</v>
      </c>
    </row>
    <row r="8" spans="2:10" ht="65.25">
      <c r="B8" s="19" t="s">
        <v>7</v>
      </c>
      <c r="C8" s="30" t="s">
        <v>34</v>
      </c>
      <c r="D8" s="4" t="s">
        <v>6</v>
      </c>
      <c r="E8" s="4" t="s">
        <v>5</v>
      </c>
      <c r="F8" s="32">
        <v>32</v>
      </c>
      <c r="G8" s="22" t="s">
        <v>43</v>
      </c>
      <c r="H8" s="27" t="s">
        <v>4</v>
      </c>
      <c r="I8" s="25">
        <v>4</v>
      </c>
      <c r="J8" s="25">
        <v>7</v>
      </c>
    </row>
    <row r="9" spans="2:10" ht="65.25">
      <c r="B9" s="18" t="s">
        <v>3</v>
      </c>
      <c r="C9" s="29" t="s">
        <v>35</v>
      </c>
      <c r="D9" s="12" t="s">
        <v>2</v>
      </c>
      <c r="E9" s="12" t="s">
        <v>1</v>
      </c>
      <c r="F9" s="31">
        <v>121</v>
      </c>
      <c r="G9" s="20" t="s">
        <v>44</v>
      </c>
      <c r="H9" s="28" t="s">
        <v>0</v>
      </c>
      <c r="I9" s="24">
        <v>8</v>
      </c>
      <c r="J9" s="24">
        <v>8</v>
      </c>
    </row>
    <row r="18" spans="2:10" ht="57.75" outlineLevel="1">
      <c r="B18" s="15" t="s">
        <v>9</v>
      </c>
      <c r="C18" s="11" t="str">
        <f xml:space="preserve"> "dong" &amp; I18</f>
        <v>dong6</v>
      </c>
      <c r="D18" s="11" t="s">
        <v>8</v>
      </c>
      <c r="E18" s="11"/>
      <c r="F18" s="10">
        <v>53</v>
      </c>
      <c r="G18" s="10"/>
      <c r="H18" s="8" t="s">
        <v>4</v>
      </c>
      <c r="I18" s="10">
        <v>6</v>
      </c>
      <c r="J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聲調對照表（閩拚）</vt:lpstr>
      <vt:lpstr>聲調對照表（閩拚） (2)</vt:lpstr>
      <vt:lpstr>聲調對照表 (台語音標)</vt:lpstr>
      <vt:lpstr>工作表1</vt:lpstr>
      <vt:lpstr>聲調對照表 (3)</vt:lpstr>
      <vt:lpstr>聲調對照表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2025-10-06T14:55:50Z</dcterms:created>
  <dcterms:modified xsi:type="dcterms:W3CDTF">2025-11-20T15:11:06Z</dcterms:modified>
</cp:coreProperties>
</file>