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bp\docs\"/>
    </mc:Choice>
  </mc:AlternateContent>
  <xr:revisionPtr revIDLastSave="0" documentId="13_ncr:1_{34B22061-226C-4F81-8107-CD32917A384A}" xr6:coauthVersionLast="47" xr6:coauthVersionMax="47" xr10:uidLastSave="{00000000-0000-0000-0000-000000000000}"/>
  <bookViews>
    <workbookView minimized="1" xWindow="35670" yWindow="1395" windowWidth="28800" windowHeight="13275" tabRatio="852" activeTab="4" xr2:uid="{7FF7F740-F631-4A1E-9C4D-C5EB90769954}"/>
    <workbookView xWindow="30360" yWindow="1485" windowWidth="28800" windowHeight="13275" activeTab="4" xr2:uid="{04CC9D16-FD39-44FC-8B9B-5ACA8C592D07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RIME設定【閩拼】!$CQ$1:$CQ$2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RIME設定【閩拼】!$CQ$4:$CV$4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25" i="5" l="1"/>
  <c r="BN26" i="5"/>
  <c r="BN27" i="5"/>
  <c r="BN28" i="5"/>
  <c r="BN29" i="5"/>
  <c r="BN30" i="5"/>
  <c r="BN31" i="5"/>
  <c r="BN32" i="5"/>
  <c r="BN33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CX26" i="5"/>
  <c r="CX27" i="5"/>
  <c r="CX28" i="5"/>
  <c r="CX29" i="5"/>
  <c r="CX30" i="5"/>
  <c r="CX31" i="5"/>
  <c r="CO14" i="5"/>
  <c r="CO15" i="5"/>
  <c r="CO16" i="5"/>
  <c r="CO17" i="5"/>
  <c r="CO18" i="5"/>
  <c r="CO19" i="5"/>
  <c r="CO20" i="5"/>
  <c r="CO21" i="5"/>
  <c r="CO22" i="5"/>
  <c r="CO23" i="5"/>
  <c r="CO24" i="5"/>
  <c r="CO25" i="5"/>
  <c r="CO26" i="5"/>
  <c r="CO27" i="5"/>
  <c r="CY64" i="5"/>
  <c r="CY63" i="5"/>
  <c r="CY62" i="5"/>
  <c r="CY61" i="5"/>
  <c r="CY60" i="5"/>
  <c r="CY59" i="5"/>
  <c r="CY58" i="5"/>
  <c r="CY57" i="5"/>
  <c r="CY56" i="5"/>
  <c r="CY55" i="5"/>
  <c r="CY54" i="5"/>
  <c r="CY53" i="5"/>
  <c r="CY52" i="5"/>
  <c r="CY51" i="5"/>
  <c r="CY50" i="5"/>
  <c r="CY49" i="5"/>
  <c r="CY48" i="5"/>
  <c r="CY47" i="5"/>
  <c r="CY46" i="5"/>
  <c r="CY45" i="5"/>
  <c r="CY44" i="5"/>
  <c r="CY43" i="5"/>
  <c r="CY42" i="5"/>
  <c r="CY41" i="5"/>
  <c r="CY40" i="5"/>
  <c r="CY39" i="5"/>
  <c r="CY38" i="5"/>
  <c r="CY37" i="5"/>
  <c r="CY36" i="5"/>
  <c r="CY35" i="5"/>
  <c r="CY34" i="5"/>
  <c r="CY33" i="5"/>
  <c r="CY32" i="5"/>
  <c r="CY31" i="5"/>
  <c r="CY30" i="5"/>
  <c r="CY29" i="5"/>
  <c r="CY28" i="5"/>
  <c r="CY27" i="5"/>
  <c r="CY26" i="5"/>
  <c r="CY25" i="5"/>
  <c r="CY24" i="5"/>
  <c r="CY2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P64" i="5"/>
  <c r="CP63" i="5"/>
  <c r="CP62" i="5"/>
  <c r="CP61" i="5"/>
  <c r="CP60" i="5"/>
  <c r="CP59" i="5"/>
  <c r="CP58" i="5"/>
  <c r="CP57" i="5"/>
  <c r="CP56" i="5"/>
  <c r="CP55" i="5"/>
  <c r="CP54" i="5"/>
  <c r="CP53" i="5"/>
  <c r="CP52" i="5"/>
  <c r="CP51" i="5"/>
  <c r="CP50" i="5"/>
  <c r="CP49" i="5"/>
  <c r="CP48" i="5"/>
  <c r="CP47" i="5"/>
  <c r="CP46" i="5"/>
  <c r="CP45" i="5"/>
  <c r="CP44" i="5"/>
  <c r="CP43" i="5"/>
  <c r="CP42" i="5"/>
  <c r="CP41" i="5"/>
  <c r="CP40" i="5"/>
  <c r="CP39" i="5"/>
  <c r="CP38" i="5"/>
  <c r="CP37" i="5"/>
  <c r="CP36" i="5"/>
  <c r="CP35" i="5"/>
  <c r="CP34" i="5"/>
  <c r="CP33" i="5"/>
  <c r="CP32" i="5"/>
  <c r="CP31" i="5"/>
  <c r="CP30" i="5"/>
  <c r="CP29" i="5"/>
  <c r="CP28" i="5"/>
  <c r="CP27" i="5"/>
  <c r="CP26" i="5"/>
  <c r="CP25" i="5"/>
  <c r="CP24" i="5"/>
  <c r="CP23" i="5"/>
  <c r="CP22" i="5"/>
  <c r="CP21" i="5"/>
  <c r="CP20" i="5"/>
  <c r="CP19" i="5"/>
  <c r="CP18" i="5"/>
  <c r="CP17" i="5"/>
  <c r="CP16" i="5"/>
  <c r="CP15" i="5"/>
  <c r="CP14" i="5"/>
  <c r="CP13" i="5"/>
  <c r="CP12" i="5"/>
  <c r="CP11" i="5"/>
  <c r="CP10" i="5"/>
  <c r="CP9" i="5"/>
  <c r="CP8" i="5"/>
  <c r="CP7" i="5"/>
  <c r="CP6" i="5"/>
  <c r="CP5" i="5"/>
  <c r="CG64" i="5"/>
  <c r="CG63" i="5"/>
  <c r="CG62" i="5"/>
  <c r="CG61" i="5"/>
  <c r="CG60" i="5"/>
  <c r="CG59" i="5"/>
  <c r="CG58" i="5"/>
  <c r="CG57" i="5"/>
  <c r="CG56" i="5"/>
  <c r="CG55" i="5"/>
  <c r="CG54" i="5"/>
  <c r="CG53" i="5"/>
  <c r="CG52" i="5"/>
  <c r="CG51" i="5"/>
  <c r="CG50" i="5"/>
  <c r="CG49" i="5"/>
  <c r="CG48" i="5"/>
  <c r="CG47" i="5"/>
  <c r="CG46" i="5"/>
  <c r="CG45" i="5"/>
  <c r="CG44" i="5"/>
  <c r="CG43" i="5"/>
  <c r="CG42" i="5"/>
  <c r="CG41" i="5"/>
  <c r="CG40" i="5"/>
  <c r="CG39" i="5"/>
  <c r="CG38" i="5"/>
  <c r="CG37" i="5"/>
  <c r="CG36" i="5"/>
  <c r="CG35" i="5"/>
  <c r="CG34" i="5"/>
  <c r="CG33" i="5"/>
  <c r="CG32" i="5"/>
  <c r="CG31" i="5"/>
  <c r="CG30" i="5"/>
  <c r="CG29" i="5"/>
  <c r="CG28" i="5"/>
  <c r="CG27" i="5"/>
  <c r="CG26" i="5"/>
  <c r="CG25" i="5"/>
  <c r="CG24" i="5"/>
  <c r="CG2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BX64" i="5"/>
  <c r="BX63" i="5"/>
  <c r="BX62" i="5"/>
  <c r="BX61" i="5"/>
  <c r="BX60" i="5"/>
  <c r="BX59" i="5"/>
  <c r="BX58" i="5"/>
  <c r="BX57" i="5"/>
  <c r="BX56" i="5"/>
  <c r="BX55" i="5"/>
  <c r="BX54" i="5"/>
  <c r="BX53" i="5"/>
  <c r="BX52" i="5"/>
  <c r="BX51" i="5"/>
  <c r="BX50" i="5"/>
  <c r="BX49" i="5"/>
  <c r="BX48" i="5"/>
  <c r="BX47" i="5"/>
  <c r="BX46" i="5"/>
  <c r="BX45" i="5"/>
  <c r="BX44" i="5"/>
  <c r="BX43" i="5"/>
  <c r="BX42" i="5"/>
  <c r="BX41" i="5"/>
  <c r="BX40" i="5"/>
  <c r="BX39" i="5"/>
  <c r="BX38" i="5"/>
  <c r="BX37" i="5"/>
  <c r="BX36" i="5"/>
  <c r="BX35" i="5"/>
  <c r="BX34" i="5"/>
  <c r="BX33" i="5"/>
  <c r="BX32" i="5"/>
  <c r="BX31" i="5"/>
  <c r="BX30" i="5"/>
  <c r="BX29" i="5"/>
  <c r="BX28" i="5"/>
  <c r="BX27" i="5"/>
  <c r="BX26" i="5"/>
  <c r="BX25" i="5"/>
  <c r="BX24" i="5"/>
  <c r="BX23" i="5"/>
  <c r="BX22" i="5"/>
  <c r="BX21" i="5"/>
  <c r="BX20" i="5"/>
  <c r="BX19" i="5"/>
  <c r="BX18" i="5"/>
  <c r="BX17" i="5"/>
  <c r="BX16" i="5"/>
  <c r="BX15" i="5"/>
  <c r="BX14" i="5"/>
  <c r="BX13" i="5"/>
  <c r="BX12" i="5"/>
  <c r="BX11" i="5"/>
  <c r="BX10" i="5"/>
  <c r="BX9" i="5"/>
  <c r="BX8" i="5"/>
  <c r="BX7" i="5"/>
  <c r="BX6" i="5"/>
  <c r="BX5" i="5"/>
  <c r="D19" i="5" a="1"/>
  <c r="D19" i="5" s="1"/>
  <c r="D18" i="5" a="1"/>
  <c r="D18" i="5" s="1"/>
  <c r="B29" i="5" s="1"/>
  <c r="D17" i="5" a="1"/>
  <c r="D17" i="5" s="1"/>
  <c r="A5" i="33"/>
  <c r="A4" i="33"/>
  <c r="B2" i="33"/>
  <c r="B5" i="33" s="1"/>
  <c r="B1" i="33"/>
  <c r="B4" i="33" s="1"/>
  <c r="BQ59" i="5" l="1" a="1"/>
  <c r="BQ59" i="5" s="1"/>
  <c r="BQ54" i="5" a="1"/>
  <c r="BQ54" i="5" s="1"/>
  <c r="BP49" i="5" a="1"/>
  <c r="BP49" i="5" s="1"/>
  <c r="BS49" i="5" s="1" a="1"/>
  <c r="BS49" i="5" s="1"/>
  <c r="BQ41" i="5" a="1"/>
  <c r="BQ41" i="5" s="1"/>
  <c r="BO30" i="5" a="1"/>
  <c r="BO30" i="5" s="1"/>
  <c r="BP57" i="5" a="1"/>
  <c r="BP57" i="5" s="1"/>
  <c r="BS57" i="5" s="1" a="1"/>
  <c r="BS57" i="5" s="1"/>
  <c r="BQ30" i="5" a="1"/>
  <c r="BQ30" i="5" s="1"/>
  <c r="BP62" i="5" a="1"/>
  <c r="BP62" i="5" s="1"/>
  <c r="BS62" i="5" s="1" a="1"/>
  <c r="BS62" i="5" s="1"/>
  <c r="BO57" i="5" a="1"/>
  <c r="BO57" i="5" s="1"/>
  <c r="BP44" i="5" a="1"/>
  <c r="BP44" i="5" s="1"/>
  <c r="BS44" i="5" s="1" a="1"/>
  <c r="BS44" i="5" s="1"/>
  <c r="BO39" i="5" a="1"/>
  <c r="BO39" i="5" s="1"/>
  <c r="BQ36" i="5" a="1"/>
  <c r="BQ36" i="5" s="1"/>
  <c r="BO27" i="5" a="1"/>
  <c r="BO27" i="5" s="1"/>
  <c r="BP24" i="5" a="1"/>
  <c r="BP24" i="5" s="1"/>
  <c r="BS24" i="5" s="1" a="1"/>
  <c r="BS24" i="5" s="1"/>
  <c r="BQ16" i="5" a="1"/>
  <c r="BQ16" i="5" s="1"/>
  <c r="BO14" i="5" a="1"/>
  <c r="BO14" i="5" s="1"/>
  <c r="BP11" i="5" a="1"/>
  <c r="BP11" i="5" s="1"/>
  <c r="BS11" i="5" s="1" a="1"/>
  <c r="BS11" i="5" s="1"/>
  <c r="BQ64" i="5" a="1"/>
  <c r="BQ64" i="5" s="1"/>
  <c r="BO62" i="5" a="1"/>
  <c r="BO62" i="5" s="1"/>
  <c r="BP59" i="5" a="1"/>
  <c r="BP59" i="5" s="1"/>
  <c r="BS59" i="5" s="1" a="1"/>
  <c r="BS59" i="5" s="1"/>
  <c r="BP54" i="5" a="1"/>
  <c r="BP54" i="5" s="1"/>
  <c r="BS54" i="5" s="1" a="1"/>
  <c r="BS54" i="5" s="1"/>
  <c r="BQ46" i="5" a="1"/>
  <c r="BQ46" i="5" s="1"/>
  <c r="BO44" i="5" a="1"/>
  <c r="BO44" i="5" s="1"/>
  <c r="BP41" i="5" a="1"/>
  <c r="BP41" i="5" s="1"/>
  <c r="BS41" i="5" s="1" a="1"/>
  <c r="BS41" i="5" s="1"/>
  <c r="BP36" i="5" a="1"/>
  <c r="BP36" i="5" s="1"/>
  <c r="BS36" i="5" s="1" a="1"/>
  <c r="BS36" i="5" s="1"/>
  <c r="BQ33" i="5" a="1"/>
  <c r="BQ33" i="5" s="1"/>
  <c r="BO24" i="5" a="1"/>
  <c r="BO24" i="5" s="1"/>
  <c r="BQ21" i="5" a="1"/>
  <c r="BQ21" i="5" s="1"/>
  <c r="BO19" i="5" a="1"/>
  <c r="BO19" i="5" s="1"/>
  <c r="BP16" i="5" a="1"/>
  <c r="BP16" i="5" s="1"/>
  <c r="BS16" i="5" s="1" a="1"/>
  <c r="BS16" i="5" s="1"/>
  <c r="BO11" i="5" a="1"/>
  <c r="BO11" i="5" s="1"/>
  <c r="BQ8" i="5" a="1"/>
  <c r="BQ8" i="5" s="1"/>
  <c r="BQ49" i="5" a="1"/>
  <c r="BQ49" i="5" s="1"/>
  <c r="BQ56" i="5" a="1"/>
  <c r="BQ56" i="5" s="1"/>
  <c r="BQ51" i="5" a="1"/>
  <c r="BQ51" i="5" s="1"/>
  <c r="BP46" i="5" a="1"/>
  <c r="BP46" i="5" s="1"/>
  <c r="BS46" i="5" s="1" a="1"/>
  <c r="BS46" i="5" s="1"/>
  <c r="BO41" i="5" a="1"/>
  <c r="BO41" i="5" s="1"/>
  <c r="BO36" i="5" a="1"/>
  <c r="BO36" i="5" s="1"/>
  <c r="BQ29" i="5" a="1"/>
  <c r="BQ29" i="5" s="1"/>
  <c r="BQ13" i="5" a="1"/>
  <c r="BQ13" i="5" s="1"/>
  <c r="BP33" i="5" a="1"/>
  <c r="BP33" i="5" s="1"/>
  <c r="BS33" i="5" s="1" a="1"/>
  <c r="BS33" i="5" s="1"/>
  <c r="BO64" i="5" a="1"/>
  <c r="BO64" i="5" s="1"/>
  <c r="BQ61" i="5" a="1"/>
  <c r="BQ61" i="5" s="1"/>
  <c r="BP51" i="5" a="1"/>
  <c r="BP51" i="5" s="1"/>
  <c r="BS51" i="5" s="1" a="1"/>
  <c r="BS51" i="5" s="1"/>
  <c r="BO46" i="5" a="1"/>
  <c r="BO46" i="5" s="1"/>
  <c r="BQ43" i="5" a="1"/>
  <c r="BQ43" i="5" s="1"/>
  <c r="BQ32" i="5" a="1"/>
  <c r="BQ32" i="5" s="1"/>
  <c r="BP29" i="5" a="1"/>
  <c r="BP29" i="5" s="1"/>
  <c r="BS29" i="5" s="1" a="1"/>
  <c r="BS29" i="5" s="1"/>
  <c r="BQ23" i="5" a="1"/>
  <c r="BQ23" i="5" s="1"/>
  <c r="BO21" i="5" a="1"/>
  <c r="BO21" i="5" s="1"/>
  <c r="BQ18" i="5" a="1"/>
  <c r="BQ18" i="5" s="1"/>
  <c r="BP13" i="5" a="1"/>
  <c r="BP13" i="5" s="1"/>
  <c r="BS13" i="5" s="1" a="1"/>
  <c r="BS13" i="5" s="1"/>
  <c r="BP8" i="5" a="1"/>
  <c r="BP8" i="5" s="1"/>
  <c r="BS8" i="5" s="1" a="1"/>
  <c r="BS8" i="5" s="1"/>
  <c r="BO34" i="5" a="1"/>
  <c r="BO34" i="5" s="1"/>
  <c r="BP19" i="5" a="1"/>
  <c r="BP19" i="5" s="1"/>
  <c r="BS19" i="5" s="1" a="1"/>
  <c r="BS19" i="5" s="1"/>
  <c r="BP64" i="5" a="1"/>
  <c r="BP64" i="5" s="1"/>
  <c r="BS64" i="5" s="1" a="1"/>
  <c r="BS64" i="5" s="1"/>
  <c r="BO59" i="5" a="1"/>
  <c r="BO59" i="5" s="1"/>
  <c r="BO54" i="5" a="1"/>
  <c r="BO54" i="5" s="1"/>
  <c r="BO49" i="5" a="1"/>
  <c r="BO49" i="5" s="1"/>
  <c r="BQ38" i="5" a="1"/>
  <c r="BQ38" i="5" s="1"/>
  <c r="BO33" i="5" a="1"/>
  <c r="BO33" i="5" s="1"/>
  <c r="BQ26" i="5" a="1"/>
  <c r="BQ26" i="5" s="1"/>
  <c r="BP21" i="5" a="1"/>
  <c r="BP21" i="5" s="1"/>
  <c r="BS21" i="5" s="1" a="1"/>
  <c r="BS21" i="5" s="1"/>
  <c r="BO16" i="5" a="1"/>
  <c r="BO16" i="5" s="1"/>
  <c r="BP61" i="5" a="1"/>
  <c r="BP61" i="5" s="1"/>
  <c r="BS61" i="5" s="1" a="1"/>
  <c r="BS61" i="5" s="1"/>
  <c r="BP56" i="5" a="1"/>
  <c r="BP56" i="5" s="1"/>
  <c r="BS56" i="5" s="1" a="1"/>
  <c r="BS56" i="5" s="1"/>
  <c r="BQ53" i="5" a="1"/>
  <c r="BQ53" i="5" s="1"/>
  <c r="BO51" i="5" a="1"/>
  <c r="BO51" i="5" s="1"/>
  <c r="BQ48" i="5" a="1"/>
  <c r="BQ48" i="5" s="1"/>
  <c r="BP43" i="5" a="1"/>
  <c r="BP43" i="5" s="1"/>
  <c r="BS43" i="5" s="1" a="1"/>
  <c r="BS43" i="5" s="1"/>
  <c r="BP38" i="5" a="1"/>
  <c r="BP38" i="5" s="1"/>
  <c r="BS38" i="5" s="1" a="1"/>
  <c r="BS38" i="5" s="1"/>
  <c r="BQ35" i="5" a="1"/>
  <c r="BQ35" i="5" s="1"/>
  <c r="BP32" i="5" a="1"/>
  <c r="BP32" i="5" s="1"/>
  <c r="BS32" i="5" s="1" a="1"/>
  <c r="BS32" i="5" s="1"/>
  <c r="BO29" i="5" a="1"/>
  <c r="BO29" i="5" s="1"/>
  <c r="BP26" i="5" a="1"/>
  <c r="BP26" i="5" s="1"/>
  <c r="BS26" i="5" s="1" a="1"/>
  <c r="BS26" i="5" s="1"/>
  <c r="BP23" i="5" a="1"/>
  <c r="BP23" i="5" s="1"/>
  <c r="BS23" i="5" s="1" a="1"/>
  <c r="BS23" i="5" s="1"/>
  <c r="BP18" i="5" a="1"/>
  <c r="BP18" i="5" s="1"/>
  <c r="BS18" i="5" s="1" a="1"/>
  <c r="BS18" i="5" s="1"/>
  <c r="BQ10" i="5" a="1"/>
  <c r="BQ10" i="5" s="1"/>
  <c r="BO8" i="5" a="1"/>
  <c r="BO8" i="5" s="1"/>
  <c r="BP30" i="5" a="1"/>
  <c r="BP30" i="5" s="1"/>
  <c r="BS30" i="5" s="1" a="1"/>
  <c r="BS30" i="5" s="1"/>
  <c r="BP39" i="5" a="1"/>
  <c r="BP39" i="5" s="1"/>
  <c r="BS39" i="5" s="1" a="1"/>
  <c r="BS39" i="5" s="1"/>
  <c r="BP27" i="5" a="1"/>
  <c r="BP27" i="5" s="1"/>
  <c r="BS27" i="5" s="1" a="1"/>
  <c r="BS27" i="5" s="1"/>
  <c r="BP14" i="5" a="1"/>
  <c r="BP14" i="5" s="1"/>
  <c r="BS14" i="5" s="1" a="1"/>
  <c r="BS14" i="5" s="1"/>
  <c r="BP48" i="5" a="1"/>
  <c r="BP48" i="5" s="1"/>
  <c r="BS48" i="5" s="1" a="1"/>
  <c r="BS48" i="5" s="1"/>
  <c r="BQ15" i="5" a="1"/>
  <c r="BQ15" i="5" s="1"/>
  <c r="BQ63" i="5" a="1"/>
  <c r="BQ63" i="5" s="1"/>
  <c r="BO61" i="5" a="1"/>
  <c r="BO61" i="5" s="1"/>
  <c r="BP58" i="5" a="1"/>
  <c r="BP58" i="5" s="1"/>
  <c r="BS58" i="5" s="1" a="1"/>
  <c r="BS58" i="5" s="1"/>
  <c r="BO53" i="5" a="1"/>
  <c r="BO53" i="5" s="1"/>
  <c r="BQ50" i="5" a="1"/>
  <c r="BQ50" i="5" s="1"/>
  <c r="BO48" i="5" a="1"/>
  <c r="BO48" i="5" s="1"/>
  <c r="BQ45" i="5" a="1"/>
  <c r="BQ45" i="5" s="1"/>
  <c r="BO43" i="5" a="1"/>
  <c r="BO43" i="5" s="1"/>
  <c r="BP40" i="5" a="1"/>
  <c r="BP40" i="5" s="1"/>
  <c r="BS40" i="5" s="1" a="1"/>
  <c r="BS40" i="5" s="1"/>
  <c r="BO35" i="5" a="1"/>
  <c r="BO35" i="5" s="1"/>
  <c r="BQ28" i="5" a="1"/>
  <c r="BQ28" i="5" s="1"/>
  <c r="BP15" i="5" a="1"/>
  <c r="BP15" i="5" s="1"/>
  <c r="BS15" i="5" s="1" a="1"/>
  <c r="BS15" i="5" s="1"/>
  <c r="BO10" i="5" a="1"/>
  <c r="BO10" i="5" s="1"/>
  <c r="BQ7" i="5" a="1"/>
  <c r="BQ7" i="5" s="1"/>
  <c r="BO52" i="5" a="1"/>
  <c r="BO52" i="5" s="1"/>
  <c r="BQ24" i="5" a="1"/>
  <c r="BQ24" i="5" s="1"/>
  <c r="BO9" i="5" a="1"/>
  <c r="BO9" i="5" s="1"/>
  <c r="BP53" i="5" a="1"/>
  <c r="BP53" i="5" s="1"/>
  <c r="BS53" i="5" s="1" a="1"/>
  <c r="BS53" i="5" s="1"/>
  <c r="BO38" i="5" a="1"/>
  <c r="BO38" i="5" s="1"/>
  <c r="BO32" i="5" a="1"/>
  <c r="BO32" i="5" s="1"/>
  <c r="BO23" i="5" a="1"/>
  <c r="BO23" i="5" s="1"/>
  <c r="BQ20" i="5" a="1"/>
  <c r="BQ20" i="5" s="1"/>
  <c r="BO18" i="5" a="1"/>
  <c r="BO18" i="5" s="1"/>
  <c r="BO13" i="5" a="1"/>
  <c r="BO13" i="5" s="1"/>
  <c r="BP63" i="5" a="1"/>
  <c r="BP63" i="5" s="1"/>
  <c r="BS63" i="5" s="1" a="1"/>
  <c r="BS63" i="5" s="1"/>
  <c r="BO58" i="5" a="1"/>
  <c r="BO58" i="5" s="1"/>
  <c r="BQ55" i="5" a="1"/>
  <c r="BQ55" i="5" s="1"/>
  <c r="BP45" i="5" a="1"/>
  <c r="BP45" i="5" s="1"/>
  <c r="BS45" i="5" s="1" a="1"/>
  <c r="BS45" i="5" s="1"/>
  <c r="BO40" i="5" a="1"/>
  <c r="BO40" i="5" s="1"/>
  <c r="BQ37" i="5" a="1"/>
  <c r="BQ37" i="5" s="1"/>
  <c r="BQ31" i="5" a="1"/>
  <c r="BQ31" i="5" s="1"/>
  <c r="BP28" i="5" a="1"/>
  <c r="BP28" i="5" s="1"/>
  <c r="BS28" i="5" s="1" a="1"/>
  <c r="BS28" i="5" s="1"/>
  <c r="BQ25" i="5" a="1"/>
  <c r="BQ25" i="5" s="1"/>
  <c r="BP20" i="5" a="1"/>
  <c r="BP20" i="5" s="1"/>
  <c r="BS20" i="5" s="1" a="1"/>
  <c r="BS20" i="5" s="1"/>
  <c r="BQ17" i="5" a="1"/>
  <c r="BQ17" i="5" s="1"/>
  <c r="BO15" i="5" a="1"/>
  <c r="BO15" i="5" s="1"/>
  <c r="BQ12" i="5" a="1"/>
  <c r="BQ12" i="5" s="1"/>
  <c r="BP7" i="5" a="1"/>
  <c r="BP7" i="5" s="1"/>
  <c r="BS7" i="5" s="1" a="1"/>
  <c r="BS7" i="5" s="1"/>
  <c r="BQ11" i="5" a="1"/>
  <c r="BQ11" i="5" s="1"/>
  <c r="BO56" i="5" a="1"/>
  <c r="BO56" i="5" s="1"/>
  <c r="BQ40" i="5" a="1"/>
  <c r="BQ40" i="5" s="1"/>
  <c r="BO26" i="5" a="1"/>
  <c r="BO26" i="5" s="1"/>
  <c r="BP10" i="5" a="1"/>
  <c r="BP10" i="5" s="1"/>
  <c r="BS10" i="5" s="1" a="1"/>
  <c r="BS10" i="5" s="1"/>
  <c r="BO63" i="5" a="1"/>
  <c r="BO63" i="5" s="1"/>
  <c r="BQ60" i="5" a="1"/>
  <c r="BQ60" i="5" s="1"/>
  <c r="BP55" i="5" a="1"/>
  <c r="BP55" i="5" s="1"/>
  <c r="BS55" i="5" s="1" a="1"/>
  <c r="BS55" i="5" s="1"/>
  <c r="BP50" i="5" a="1"/>
  <c r="BP50" i="5" s="1"/>
  <c r="BS50" i="5" s="1" a="1"/>
  <c r="BS50" i="5" s="1"/>
  <c r="BQ47" i="5" a="1"/>
  <c r="BQ47" i="5" s="1"/>
  <c r="BO45" i="5" a="1"/>
  <c r="BO45" i="5" s="1"/>
  <c r="BQ42" i="5" a="1"/>
  <c r="BQ42" i="5" s="1"/>
  <c r="BP37" i="5" a="1"/>
  <c r="BP37" i="5" s="1"/>
  <c r="BS37" i="5" s="1" a="1"/>
  <c r="BS37" i="5" s="1"/>
  <c r="BP31" i="5" a="1"/>
  <c r="BP31" i="5" s="1"/>
  <c r="BS31" i="5" s="1" a="1"/>
  <c r="BS31" i="5" s="1"/>
  <c r="BO28" i="5" a="1"/>
  <c r="BO28" i="5" s="1"/>
  <c r="BP25" i="5" a="1"/>
  <c r="BP25" i="5" s="1"/>
  <c r="BS25" i="5" s="1" a="1"/>
  <c r="BS25" i="5" s="1"/>
  <c r="BQ22" i="5" a="1"/>
  <c r="BQ22" i="5" s="1"/>
  <c r="BO20" i="5" a="1"/>
  <c r="BO20" i="5" s="1"/>
  <c r="BP17" i="5" a="1"/>
  <c r="BP17" i="5" s="1"/>
  <c r="BS17" i="5" s="1" a="1"/>
  <c r="BS17" i="5" s="1"/>
  <c r="BP12" i="5" a="1"/>
  <c r="BP12" i="5" s="1"/>
  <c r="BS12" i="5" s="1" a="1"/>
  <c r="BS12" i="5" s="1"/>
  <c r="BQ58" i="5" a="1"/>
  <c r="BQ58" i="5" s="1"/>
  <c r="BP35" i="5" a="1"/>
  <c r="BP35" i="5" s="1"/>
  <c r="BS35" i="5" s="1" a="1"/>
  <c r="BS35" i="5" s="1"/>
  <c r="BP60" i="5" a="1"/>
  <c r="BP60" i="5" s="1"/>
  <c r="BS60" i="5" s="1" a="1"/>
  <c r="BS60" i="5" s="1"/>
  <c r="BQ52" i="5" a="1"/>
  <c r="BQ52" i="5" s="1"/>
  <c r="BO50" i="5" a="1"/>
  <c r="BO50" i="5" s="1"/>
  <c r="BP47" i="5" a="1"/>
  <c r="BP47" i="5" s="1"/>
  <c r="BS47" i="5" s="1" a="1"/>
  <c r="BS47" i="5" s="1"/>
  <c r="BP42" i="5" a="1"/>
  <c r="BP42" i="5" s="1"/>
  <c r="BS42" i="5" s="1" a="1"/>
  <c r="BS42" i="5" s="1"/>
  <c r="BQ34" i="5" a="1"/>
  <c r="BQ34" i="5" s="1"/>
  <c r="BO31" i="5" a="1"/>
  <c r="BO31" i="5" s="1"/>
  <c r="BO25" i="5" a="1"/>
  <c r="BO25" i="5" s="1"/>
  <c r="BP22" i="5" a="1"/>
  <c r="BP22" i="5" s="1"/>
  <c r="BS22" i="5" s="1" a="1"/>
  <c r="BS22" i="5" s="1"/>
  <c r="BO17" i="5" a="1"/>
  <c r="BO17" i="5" s="1"/>
  <c r="BQ14" i="5" a="1"/>
  <c r="BQ14" i="5" s="1"/>
  <c r="BO12" i="5" a="1"/>
  <c r="BO12" i="5" s="1"/>
  <c r="BQ9" i="5" a="1"/>
  <c r="BQ9" i="5" s="1"/>
  <c r="BO7" i="5" a="1"/>
  <c r="BO7" i="5" s="1"/>
  <c r="BQ62" i="5" a="1"/>
  <c r="BQ62" i="5" s="1"/>
  <c r="BO60" i="5" a="1"/>
  <c r="BO60" i="5" s="1"/>
  <c r="BQ57" i="5" a="1"/>
  <c r="BQ57" i="5" s="1"/>
  <c r="BO55" i="5" a="1"/>
  <c r="BO55" i="5" s="1"/>
  <c r="BP52" i="5" a="1"/>
  <c r="BP52" i="5" s="1"/>
  <c r="BS52" i="5" s="1" a="1"/>
  <c r="BS52" i="5" s="1"/>
  <c r="BO47" i="5" a="1"/>
  <c r="BO47" i="5" s="1"/>
  <c r="BQ44" i="5" a="1"/>
  <c r="BQ44" i="5" s="1"/>
  <c r="BO42" i="5" a="1"/>
  <c r="BO42" i="5" s="1"/>
  <c r="BQ39" i="5" a="1"/>
  <c r="BQ39" i="5" s="1"/>
  <c r="BO37" i="5" a="1"/>
  <c r="BO37" i="5" s="1"/>
  <c r="BP34" i="5" a="1"/>
  <c r="BP34" i="5" s="1"/>
  <c r="BS34" i="5" s="1" a="1"/>
  <c r="BS34" i="5" s="1"/>
  <c r="BQ27" i="5" a="1"/>
  <c r="BQ27" i="5" s="1"/>
  <c r="BO22" i="5" a="1"/>
  <c r="BO22" i="5" s="1"/>
  <c r="BQ19" i="5" a="1"/>
  <c r="BQ19" i="5" s="1"/>
  <c r="BP9" i="5" a="1"/>
  <c r="BP9" i="5" s="1"/>
  <c r="BS9" i="5" s="1" a="1"/>
  <c r="BS9" i="5" s="1"/>
  <c r="B28" i="5"/>
  <c r="B30" i="5"/>
  <c r="C1" i="33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O5" i="22" l="1" a="1"/>
  <c r="O5" i="22" s="1"/>
  <c r="N61" i="22"/>
  <c r="N62" i="22"/>
  <c r="N63" i="22"/>
  <c r="N64" i="22"/>
  <c r="BK16" i="5" l="1" a="1"/>
  <c r="BK16" i="5" s="1"/>
  <c r="BI16" i="5" a="1"/>
  <c r="BI16" i="5" s="1"/>
  <c r="BJ16" i="5" a="1"/>
  <c r="BJ16" i="5" s="1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2" i="31"/>
  <c r="J5" i="31" a="1"/>
  <c r="J5" i="31" s="1"/>
  <c r="G5" i="31" a="1"/>
  <c r="G5" i="31" s="1"/>
  <c r="H5" i="31" a="1"/>
  <c r="H5" i="31" s="1"/>
  <c r="I5" i="31" a="1"/>
  <c r="I5" i="31" s="1"/>
  <c r="J6" i="31" a="1"/>
  <c r="J6" i="31" s="1"/>
  <c r="G6" i="31" a="1"/>
  <c r="G6" i="31" s="1"/>
  <c r="H6" i="31" a="1"/>
  <c r="H6" i="31" s="1"/>
  <c r="I6" i="31" a="1"/>
  <c r="I6" i="31" s="1"/>
  <c r="G4" i="31" a="1"/>
  <c r="G4" i="31" s="1"/>
  <c r="H4" i="31" a="1"/>
  <c r="H4" i="31" s="1"/>
  <c r="I4" i="31" a="1"/>
  <c r="I4" i="31" s="1"/>
  <c r="J4" i="31" a="1"/>
  <c r="J4" i="31" s="1"/>
  <c r="B53" i="31"/>
  <c r="B58" i="31"/>
  <c r="B70" i="5" a="1"/>
  <c r="B70" i="5" s="1"/>
  <c r="B83" i="5" s="1"/>
  <c r="A70" i="5" s="1"/>
  <c r="B62" i="31"/>
  <c r="B60" i="31"/>
  <c r="B61" i="31"/>
  <c r="B59" i="31"/>
  <c r="B54" i="31"/>
  <c r="B57" i="31"/>
  <c r="B55" i="31"/>
  <c r="B56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99" i="5" a="1"/>
  <c r="L99" i="5" a="1"/>
  <c r="AR98" i="5" a="1"/>
  <c r="AQ99" i="5" a="1"/>
  <c r="W99" i="5" a="1"/>
  <c r="F98" i="5" a="1"/>
  <c r="P98" i="5" a="1"/>
  <c r="T99" i="5" a="1"/>
  <c r="U98" i="5" a="1"/>
  <c r="AC99" i="5" a="1"/>
  <c r="BG99" i="5" a="1"/>
  <c r="R99" i="5" a="1"/>
  <c r="H98" i="5" a="1"/>
  <c r="AK98" i="5" a="1"/>
  <c r="AQ98" i="5" a="1"/>
  <c r="V98" i="5" a="1"/>
  <c r="E99" i="5" a="1"/>
  <c r="N98" i="5" a="1"/>
  <c r="D98" i="5" a="1"/>
  <c r="BE99" i="5" a="1"/>
  <c r="AW99" i="5" a="1"/>
  <c r="P99" i="5" a="1"/>
  <c r="AZ98" i="5" a="1"/>
  <c r="BD99" i="5" a="1"/>
  <c r="AK99" i="5" a="1"/>
  <c r="BH99" i="5" a="1"/>
  <c r="BF98" i="5" a="1"/>
  <c r="AO98" i="5" a="1"/>
  <c r="AE98" i="5" a="1"/>
  <c r="Y63" i="5" a="1"/>
  <c r="AM99" i="5" a="1"/>
  <c r="O98" i="5" a="1"/>
  <c r="AI99" i="5" a="1"/>
  <c r="AL99" i="5" a="1"/>
  <c r="Y99" i="5" a="1"/>
  <c r="AI98" i="5" a="1"/>
  <c r="BC99" i="5" a="1"/>
  <c r="BE98" i="5" a="1"/>
  <c r="S98" i="5" a="1"/>
  <c r="AN98" i="5" a="1"/>
  <c r="BI98" i="5" a="1"/>
  <c r="B99" i="5" a="1"/>
  <c r="T98" i="5" a="1"/>
  <c r="K98" i="5" a="1"/>
  <c r="H99" i="5" a="1"/>
  <c r="Q98" i="5" a="1"/>
  <c r="Z99" i="5" a="1"/>
  <c r="AT99" i="5" a="1"/>
  <c r="AA99" i="5" a="1"/>
  <c r="Q99" i="5" a="1"/>
  <c r="J99" i="5" a="1"/>
  <c r="C99" i="5" a="1"/>
  <c r="AH99" i="5" a="1"/>
  <c r="F99" i="5" a="1"/>
  <c r="BG98" i="5" a="1"/>
  <c r="W98" i="5" a="1"/>
  <c r="G98" i="5" a="1"/>
  <c r="AB99" i="5" a="1"/>
  <c r="L98" i="5" a="1"/>
  <c r="AX99" i="5" a="1"/>
  <c r="O99" i="5" a="1"/>
  <c r="U99" i="5" a="1"/>
  <c r="AR99" i="5" a="1"/>
  <c r="Z98" i="5" a="1"/>
  <c r="BB98" i="5" a="1"/>
  <c r="AE99" i="5" a="1"/>
  <c r="AA98" i="5" a="1"/>
  <c r="I98" i="5" a="1"/>
  <c r="Y98" i="5" a="1"/>
  <c r="AL98" i="5" a="1"/>
  <c r="AV99" i="5" a="1"/>
  <c r="AT98" i="5" a="1"/>
  <c r="AJ98" i="5" a="1"/>
  <c r="BH98" i="5" a="1"/>
  <c r="AF99" i="5" a="1"/>
  <c r="C98" i="5" a="1"/>
  <c r="V99" i="5" a="1"/>
  <c r="D99" i="5" a="1"/>
  <c r="AY99" i="5" a="1"/>
  <c r="AU99" i="5" a="1"/>
  <c r="AH98" i="5" a="1"/>
  <c r="AM98" i="5" a="1"/>
  <c r="BB99" i="5" a="1"/>
  <c r="AZ99" i="5" a="1"/>
  <c r="AD98" i="5" a="1"/>
  <c r="B98" i="5" a="1"/>
  <c r="G99" i="5" a="1"/>
  <c r="AB98" i="5" a="1"/>
  <c r="AG99" i="5" a="1"/>
  <c r="BA98" i="5" a="1"/>
  <c r="N99" i="5" a="1"/>
  <c r="AP98" i="5" a="1"/>
  <c r="E98" i="5" a="1"/>
  <c r="BI99" i="5" a="1"/>
  <c r="X98" i="5" a="1"/>
  <c r="AS99" i="5" a="1"/>
  <c r="AS98" i="5" a="1"/>
  <c r="AG98" i="5" a="1"/>
  <c r="AO99" i="5" a="1"/>
  <c r="X99" i="5" a="1"/>
  <c r="BA99" i="5" a="1"/>
  <c r="AF98" i="5" a="1"/>
  <c r="R98" i="5" a="1"/>
  <c r="K99" i="5" a="1"/>
  <c r="AN99" i="5" a="1"/>
  <c r="J98" i="5" a="1"/>
  <c r="AJ99" i="5" a="1"/>
  <c r="BF99" i="5" a="1"/>
  <c r="S99" i="5" a="1"/>
  <c r="AP99" i="5" a="1"/>
  <c r="AD99" i="5" a="1"/>
  <c r="BD98" i="5" a="1"/>
  <c r="AC98" i="5" a="1"/>
  <c r="BC98" i="5" a="1"/>
  <c r="AY98" i="5" a="1"/>
  <c r="I99" i="5" a="1"/>
  <c r="I98" i="5" l="1"/>
  <c r="AG98" i="5"/>
  <c r="C99" i="5"/>
  <c r="AY99" i="5"/>
  <c r="D98" i="5"/>
  <c r="J98" i="5"/>
  <c r="P98" i="5"/>
  <c r="V98" i="5"/>
  <c r="AB98" i="5"/>
  <c r="AH98" i="5"/>
  <c r="AN98" i="5"/>
  <c r="AT98" i="5"/>
  <c r="AZ98" i="5"/>
  <c r="BF98" i="5"/>
  <c r="D99" i="5"/>
  <c r="J99" i="5"/>
  <c r="P99" i="5"/>
  <c r="V99" i="5"/>
  <c r="AB99" i="5"/>
  <c r="AH99" i="5"/>
  <c r="AN99" i="5"/>
  <c r="AT99" i="5"/>
  <c r="AZ99" i="5"/>
  <c r="BF99" i="5"/>
  <c r="U99" i="5"/>
  <c r="C98" i="5"/>
  <c r="U98" i="5"/>
  <c r="AY98" i="5"/>
  <c r="AG99" i="5"/>
  <c r="E98" i="5"/>
  <c r="K98" i="5"/>
  <c r="Q98" i="5"/>
  <c r="W98" i="5"/>
  <c r="AC98" i="5"/>
  <c r="AI98" i="5"/>
  <c r="AO98" i="5"/>
  <c r="BA98" i="5"/>
  <c r="BG98" i="5"/>
  <c r="E99" i="5"/>
  <c r="K99" i="5"/>
  <c r="Q99" i="5"/>
  <c r="W99" i="5"/>
  <c r="AC99" i="5"/>
  <c r="AI99" i="5"/>
  <c r="AO99" i="5"/>
  <c r="AU99" i="5"/>
  <c r="BA99" i="5"/>
  <c r="BG99" i="5"/>
  <c r="AA99" i="5"/>
  <c r="AS98" i="5"/>
  <c r="F98" i="5"/>
  <c r="L98" i="5"/>
  <c r="R98" i="5"/>
  <c r="X98" i="5"/>
  <c r="AD98" i="5"/>
  <c r="AJ98" i="5"/>
  <c r="AP98" i="5"/>
  <c r="BB98" i="5"/>
  <c r="BH98" i="5"/>
  <c r="F99" i="5"/>
  <c r="L99" i="5"/>
  <c r="R99" i="5"/>
  <c r="X99" i="5"/>
  <c r="AD99" i="5"/>
  <c r="AJ99" i="5"/>
  <c r="AP99" i="5"/>
  <c r="AV99" i="5"/>
  <c r="BB99" i="5"/>
  <c r="BH99" i="5"/>
  <c r="I99" i="5"/>
  <c r="O98" i="5"/>
  <c r="AM98" i="5"/>
  <c r="O99" i="5"/>
  <c r="G98" i="5"/>
  <c r="S98" i="5"/>
  <c r="Y98" i="5"/>
  <c r="AE98" i="5"/>
  <c r="AK98" i="5"/>
  <c r="AQ98" i="5"/>
  <c r="BC98" i="5"/>
  <c r="BI98" i="5"/>
  <c r="G99" i="5"/>
  <c r="M99" i="5"/>
  <c r="S99" i="5"/>
  <c r="Y99" i="5"/>
  <c r="AE99" i="5"/>
  <c r="AK99" i="5"/>
  <c r="AQ99" i="5"/>
  <c r="AW99" i="5"/>
  <c r="BC99" i="5"/>
  <c r="BI99" i="5"/>
  <c r="AS99" i="5"/>
  <c r="AA98" i="5"/>
  <c r="BE98" i="5"/>
  <c r="BE99" i="5"/>
  <c r="H98" i="5"/>
  <c r="N98" i="5"/>
  <c r="T98" i="5"/>
  <c r="Z98" i="5"/>
  <c r="AF98" i="5"/>
  <c r="AL98" i="5"/>
  <c r="AR98" i="5"/>
  <c r="BD98" i="5"/>
  <c r="H99" i="5"/>
  <c r="N99" i="5"/>
  <c r="T99" i="5"/>
  <c r="Z99" i="5"/>
  <c r="AF99" i="5"/>
  <c r="AL99" i="5"/>
  <c r="AR99" i="5"/>
  <c r="AX99" i="5"/>
  <c r="BD99" i="5"/>
  <c r="AM99" i="5"/>
  <c r="B99" i="5"/>
  <c r="B98" i="5"/>
  <c r="B88" i="5"/>
  <c r="A75" i="5" s="1"/>
  <c r="Y63" i="5"/>
  <c r="BH16" i="5" a="1"/>
  <c r="BH16" i="5" s="1"/>
  <c r="N60" i="22"/>
  <c r="B58" i="12"/>
  <c r="N59" i="22"/>
  <c r="BA16" i="5" a="1"/>
  <c r="BA16" i="5" s="1"/>
  <c r="CX33" i="5"/>
  <c r="CX34" i="5"/>
  <c r="CX35" i="5"/>
  <c r="CX36" i="5"/>
  <c r="CX37" i="5"/>
  <c r="CX38" i="5"/>
  <c r="CX39" i="5"/>
  <c r="CX40" i="5"/>
  <c r="CX41" i="5"/>
  <c r="CX42" i="5"/>
  <c r="CX43" i="5"/>
  <c r="CX44" i="5"/>
  <c r="CX45" i="5"/>
  <c r="CX46" i="5"/>
  <c r="CX47" i="5"/>
  <c r="CX48" i="5"/>
  <c r="CX49" i="5"/>
  <c r="CX50" i="5"/>
  <c r="CX51" i="5"/>
  <c r="CX52" i="5"/>
  <c r="CX53" i="5"/>
  <c r="CX54" i="5"/>
  <c r="CX55" i="5"/>
  <c r="CX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K102" i="5" a="1"/>
  <c r="BI102" i="5" a="1"/>
  <c r="T102" i="5" a="1"/>
  <c r="BG102" i="5" a="1"/>
  <c r="AG102" i="5" a="1"/>
  <c r="B102" i="5" a="1"/>
  <c r="J102" i="5" a="1"/>
  <c r="U102" i="5" a="1"/>
  <c r="BE102" i="5" a="1"/>
  <c r="Y102" i="5" a="1"/>
  <c r="AN102" i="5" a="1"/>
  <c r="D102" i="5" a="1"/>
  <c r="BC102" i="5" a="1"/>
  <c r="E102" i="5" a="1"/>
  <c r="AX102" i="5" a="1"/>
  <c r="F102" i="5" a="1"/>
  <c r="AV102" i="5" a="1"/>
  <c r="AK102" i="5" a="1"/>
  <c r="AA102" i="5" a="1"/>
  <c r="Z102" i="5" a="1"/>
  <c r="O102" i="5" a="1"/>
  <c r="N102" i="5" a="1"/>
  <c r="AD102" i="5" a="1"/>
  <c r="X102" i="5" a="1"/>
  <c r="BB102" i="5" a="1"/>
  <c r="AF102" i="5" a="1"/>
  <c r="BF102" i="5" a="1"/>
  <c r="AL102" i="5" a="1"/>
  <c r="AI102" i="5" a="1"/>
  <c r="AJ102" i="5" a="1"/>
  <c r="AZ102" i="5" a="1"/>
  <c r="AS102" i="5" a="1"/>
  <c r="W102" i="5" a="1"/>
  <c r="AY102" i="5" a="1"/>
  <c r="AP102" i="5" a="1"/>
  <c r="AB102" i="5" a="1"/>
  <c r="AM102" i="5" a="1"/>
  <c r="P102" i="5" a="1"/>
  <c r="C102" i="5" a="1"/>
  <c r="I102" i="5" a="1"/>
  <c r="AH102" i="5" a="1"/>
  <c r="S102" i="5" a="1"/>
  <c r="AW102" i="5" a="1"/>
  <c r="AC102" i="5" a="1"/>
  <c r="Q102" i="5" a="1"/>
  <c r="AT102" i="5" a="1"/>
  <c r="L102" i="5" a="1"/>
  <c r="V102" i="5" a="1"/>
  <c r="H102" i="5" a="1"/>
  <c r="G102" i="5" a="1"/>
  <c r="BD102" i="5" a="1"/>
  <c r="AQ102" i="5" a="1"/>
  <c r="AR102" i="5" a="1"/>
  <c r="R102" i="5" a="1"/>
  <c r="BA102" i="5" a="1"/>
  <c r="M102" i="5" a="1"/>
  <c r="AO102" i="5" a="1"/>
  <c r="BH102" i="5" a="1"/>
  <c r="AE102" i="5" a="1"/>
  <c r="AU102" i="5" a="1"/>
  <c r="BO6" i="5" l="1" a="1"/>
  <c r="BO6" i="5" s="1"/>
  <c r="BP6" i="5" a="1"/>
  <c r="BP6" i="5" s="1"/>
  <c r="BQ6" i="5" a="1"/>
  <c r="BQ6" i="5" s="1"/>
  <c r="BQ5" i="5" a="1"/>
  <c r="BQ5" i="5" s="1"/>
  <c r="BP5" i="5" a="1"/>
  <c r="BP5" i="5" s="1"/>
  <c r="BO5" i="5" a="1"/>
  <c r="BO5" i="5" s="1"/>
  <c r="B105" i="5"/>
  <c r="A93" i="5" s="1"/>
  <c r="B104" i="5"/>
  <c r="Y102" i="5"/>
  <c r="X102" i="5"/>
  <c r="BG102" i="5"/>
  <c r="J102" i="5"/>
  <c r="AS102" i="5"/>
  <c r="M102" i="5"/>
  <c r="F102" i="5"/>
  <c r="AU102" i="5"/>
  <c r="O102" i="5"/>
  <c r="AG102" i="5"/>
  <c r="BH102" i="5"/>
  <c r="AF102" i="5"/>
  <c r="AC102" i="5"/>
  <c r="AI102" i="5"/>
  <c r="AR102" i="5"/>
  <c r="AA102" i="5"/>
  <c r="BD102" i="5"/>
  <c r="BC102" i="5"/>
  <c r="E102" i="5"/>
  <c r="Q102" i="5"/>
  <c r="BF102" i="5"/>
  <c r="I102" i="5"/>
  <c r="AW102" i="5"/>
  <c r="BB102" i="5"/>
  <c r="K102" i="5"/>
  <c r="AZ102" i="5"/>
  <c r="AL102" i="5"/>
  <c r="AQ102" i="5"/>
  <c r="AV102" i="5"/>
  <c r="T102" i="5"/>
  <c r="AN102" i="5"/>
  <c r="AY102" i="5"/>
  <c r="AK102" i="5"/>
  <c r="AP102" i="5"/>
  <c r="BA102" i="5"/>
  <c r="AB102" i="5"/>
  <c r="AM102" i="5"/>
  <c r="AE102" i="5"/>
  <c r="AJ102" i="5"/>
  <c r="AO102" i="5"/>
  <c r="P102" i="5"/>
  <c r="U102" i="5"/>
  <c r="BE102" i="5"/>
  <c r="S102" i="5"/>
  <c r="AD102" i="5"/>
  <c r="W102" i="5"/>
  <c r="D102" i="5"/>
  <c r="Z102" i="5"/>
  <c r="BI102" i="5"/>
  <c r="G102" i="5"/>
  <c r="R102" i="5"/>
  <c r="AT102" i="5"/>
  <c r="C102" i="5"/>
  <c r="N102" i="5"/>
  <c r="V102" i="5"/>
  <c r="H102" i="5"/>
  <c r="L102" i="5"/>
  <c r="AH102" i="5"/>
  <c r="AX102" i="5"/>
  <c r="B102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A17" i="25" a="1"/>
  <c r="Q17" i="25" a="1"/>
  <c r="AR17" i="25" a="1"/>
  <c r="AF17" i="25" a="1"/>
  <c r="AZ17" i="25" a="1"/>
  <c r="L17" i="25" a="1"/>
  <c r="J17" i="25" a="1"/>
  <c r="V17" i="25" a="1"/>
  <c r="X17" i="25" a="1"/>
  <c r="W17" i="25" a="1"/>
  <c r="G17" i="25" a="1"/>
  <c r="AN17" i="25" a="1"/>
  <c r="AL17" i="25" a="1"/>
  <c r="E17" i="25" a="1"/>
  <c r="AC17" i="25" a="1"/>
  <c r="I17" i="25" a="1"/>
  <c r="AI17" i="25" a="1"/>
  <c r="H17" i="25" a="1"/>
  <c r="BB17" i="25" a="1"/>
  <c r="U17" i="25" a="1"/>
  <c r="AV17" i="25" a="1"/>
  <c r="AK17" i="25" a="1"/>
  <c r="BC17" i="25" a="1"/>
  <c r="AS17" i="25" a="1"/>
  <c r="AH17" i="25" a="1"/>
  <c r="AY17" i="25" a="1"/>
  <c r="AW17" i="25" a="1"/>
  <c r="K17" i="25" a="1"/>
  <c r="AG17" i="25" a="1"/>
  <c r="O17" i="25" a="1"/>
  <c r="Y17" i="25" a="1"/>
  <c r="D17" i="25" a="1"/>
  <c r="Z17" i="25" a="1"/>
  <c r="N17" i="25" a="1"/>
  <c r="BA17" i="25" a="1"/>
  <c r="AB17" i="25" a="1"/>
  <c r="AO17" i="25" a="1"/>
  <c r="T17" i="25" a="1"/>
  <c r="AD17" i="25" a="1"/>
  <c r="M17" i="25" a="1"/>
  <c r="AT17" i="25" a="1"/>
  <c r="S17" i="25" a="1"/>
  <c r="AX17" i="25" a="1"/>
  <c r="AJ17" i="25" a="1"/>
  <c r="R17" i="25" a="1"/>
  <c r="P17" i="25" a="1"/>
  <c r="AU17" i="25" a="1"/>
  <c r="AP17" i="25" a="1"/>
  <c r="AQ17" i="25" a="1"/>
  <c r="AE17" i="25" a="1"/>
  <c r="AM17" i="25" a="1"/>
  <c r="F17" i="25" a="1"/>
  <c r="BS6" i="5" l="1" a="1"/>
  <c r="BS6" i="5" s="1"/>
  <c r="I57" i="31" a="1"/>
  <c r="I57" i="31" s="1"/>
  <c r="J58" i="31" a="1"/>
  <c r="J58" i="31" s="1"/>
  <c r="H57" i="31" a="1"/>
  <c r="H57" i="31" s="1"/>
  <c r="G57" i="31" a="1"/>
  <c r="G57" i="31" s="1"/>
  <c r="J57" i="31" a="1"/>
  <c r="J57" i="31" s="1"/>
  <c r="J26" i="31" a="1"/>
  <c r="J26" i="31" s="1"/>
  <c r="J27" i="31" a="1"/>
  <c r="J27" i="31" s="1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J33" i="31" a="1"/>
  <c r="J33" i="31" s="1"/>
  <c r="H35" i="31" a="1"/>
  <c r="H35" i="31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J61" i="31" a="1"/>
  <c r="J61" i="31" s="1"/>
  <c r="J62" i="31" a="1"/>
  <c r="J62" i="31" s="1"/>
  <c r="J35" i="31" a="1"/>
  <c r="J35" i="31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G33" i="31" a="1"/>
  <c r="G33" i="31" s="1"/>
  <c r="I35" i="31" a="1"/>
  <c r="I35" i="31" s="1"/>
  <c r="J38" i="31" a="1"/>
  <c r="J38" i="31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I28" i="31" a="1"/>
  <c r="I28" i="31" s="1"/>
  <c r="J31" i="31" a="1"/>
  <c r="J31" i="31" s="1"/>
  <c r="H33" i="31" a="1"/>
  <c r="H33" i="31" s="1"/>
  <c r="G38" i="31" a="1"/>
  <c r="G38" i="31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G26" i="31" a="1"/>
  <c r="G26" i="31" s="1"/>
  <c r="G31" i="31" a="1"/>
  <c r="G31" i="31" s="1"/>
  <c r="I33" i="31" a="1"/>
  <c r="I33" i="31" s="1"/>
  <c r="J36" i="31" a="1"/>
  <c r="J36" i="31" s="1"/>
  <c r="H38" i="31" a="1"/>
  <c r="H38" i="31" s="1"/>
  <c r="I61" i="31" a="1"/>
  <c r="I61" i="31" s="1"/>
  <c r="I62" i="31" a="1"/>
  <c r="I62" i="31" s="1"/>
  <c r="J52" i="31" a="1"/>
  <c r="J52" i="31" s="1"/>
  <c r="H26" i="31" a="1"/>
  <c r="H26" i="31" s="1"/>
  <c r="J29" i="31" a="1"/>
  <c r="J29" i="31" s="1"/>
  <c r="H31" i="31" a="1"/>
  <c r="H31" i="31" s="1"/>
  <c r="G36" i="31" a="1"/>
  <c r="G36" i="31" s="1"/>
  <c r="I38" i="31" a="1"/>
  <c r="I38" i="31" s="1"/>
  <c r="I32" i="31" a="1"/>
  <c r="I32" i="31" s="1"/>
  <c r="J3" i="31" a="1"/>
  <c r="J3" i="31" s="1"/>
  <c r="BS5" i="5" s="1" a="1"/>
  <c r="BS5" i="5" s="1"/>
  <c r="J9" i="31" a="1"/>
  <c r="J9" i="31" s="1"/>
  <c r="J10" i="31" a="1"/>
  <c r="J10" i="31" s="1"/>
  <c r="J13" i="31" a="1"/>
  <c r="J13" i="31" s="1"/>
  <c r="J11" i="31" a="1"/>
  <c r="J11" i="31" s="1"/>
  <c r="J16" i="31" a="1"/>
  <c r="J16" i="31" s="1"/>
  <c r="J18" i="31" a="1"/>
  <c r="J18" i="31" s="1"/>
  <c r="J20" i="31" a="1"/>
  <c r="J20" i="31" s="1"/>
  <c r="J22" i="31" a="1"/>
  <c r="J22" i="31" s="1"/>
  <c r="J24" i="31" a="1"/>
  <c r="J24" i="31" s="1"/>
  <c r="I26" i="31" a="1"/>
  <c r="I26" i="31" s="1"/>
  <c r="G29" i="31" a="1"/>
  <c r="G29" i="31" s="1"/>
  <c r="I31" i="31" a="1"/>
  <c r="I31" i="31" s="1"/>
  <c r="J34" i="31" a="1"/>
  <c r="J34" i="31" s="1"/>
  <c r="H36" i="31" a="1"/>
  <c r="H36" i="31" s="1"/>
  <c r="J42" i="31" a="1"/>
  <c r="J42" i="31" s="1"/>
  <c r="J43" i="31" a="1"/>
  <c r="J43" i="31" s="1"/>
  <c r="J45" i="31" a="1"/>
  <c r="J45" i="31" s="1"/>
  <c r="J47" i="31" a="1"/>
  <c r="J47" i="31" s="1"/>
  <c r="J49" i="31" a="1"/>
  <c r="J49" i="31" s="1"/>
  <c r="J51" i="31" a="1"/>
  <c r="J51" i="31" s="1"/>
  <c r="J53" i="31" a="1"/>
  <c r="J53" i="31" s="1"/>
  <c r="J25" i="31" a="1"/>
  <c r="J25" i="31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H29" i="31" a="1"/>
  <c r="H29" i="31" s="1"/>
  <c r="G34" i="31" a="1"/>
  <c r="G34" i="31" s="1"/>
  <c r="I36" i="31" a="1"/>
  <c r="I36" i="31" s="1"/>
  <c r="J39" i="31" a="1"/>
  <c r="J39" i="31" s="1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3" i="31" a="1"/>
  <c r="G53" i="31" s="1"/>
  <c r="J60" i="31" a="1"/>
  <c r="J60" i="31" s="1"/>
  <c r="G30" i="31" a="1"/>
  <c r="G30" i="31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G27" i="31" a="1"/>
  <c r="G27" i="31" s="1"/>
  <c r="I29" i="31" a="1"/>
  <c r="I29" i="31" s="1"/>
  <c r="J32" i="31" a="1"/>
  <c r="J32" i="31" s="1"/>
  <c r="H34" i="31" a="1"/>
  <c r="H34" i="31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3" i="31" a="1"/>
  <c r="H53" i="31" s="1"/>
  <c r="G60" i="31" a="1"/>
  <c r="G6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G32" i="31" a="1"/>
  <c r="G32" i="31" s="1"/>
  <c r="I34" i="31" a="1"/>
  <c r="I34" i="31" s="1"/>
  <c r="J37" i="31" a="1"/>
  <c r="J37" i="31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H60" i="31" a="1"/>
  <c r="H60" i="31" s="1"/>
  <c r="H37" i="31" a="1"/>
  <c r="H37" i="31" s="1"/>
  <c r="I27" i="31" a="1"/>
  <c r="I27" i="31" s="1"/>
  <c r="J30" i="31" a="1"/>
  <c r="J30" i="31" s="1"/>
  <c r="H32" i="31" a="1"/>
  <c r="H32" i="31" s="1"/>
  <c r="G37" i="31" a="1"/>
  <c r="G37" i="31" s="1"/>
  <c r="I39" i="31" a="1"/>
  <c r="I39" i="31" s="1"/>
  <c r="I60" i="31" a="1"/>
  <c r="I60" i="31" s="1"/>
  <c r="J8" i="31" a="1"/>
  <c r="J8" i="31" s="1"/>
  <c r="J7" i="31" a="1"/>
  <c r="J7" i="31" s="1"/>
  <c r="J12" i="31" a="1"/>
  <c r="J12" i="31" s="1"/>
  <c r="J14" i="31" a="1"/>
  <c r="J14" i="31" s="1"/>
  <c r="J15" i="31" a="1"/>
  <c r="J15" i="31" s="1"/>
  <c r="J17" i="31" a="1"/>
  <c r="J17" i="31" s="1"/>
  <c r="J19" i="31" a="1"/>
  <c r="J19" i="31" s="1"/>
  <c r="J21" i="31" a="1"/>
  <c r="J21" i="31" s="1"/>
  <c r="J23" i="31" a="1"/>
  <c r="J23" i="31" s="1"/>
  <c r="G25" i="31" a="1"/>
  <c r="G25" i="31" s="1"/>
  <c r="J28" i="31" a="1"/>
  <c r="J28" i="31" s="1"/>
  <c r="H30" i="31" a="1"/>
  <c r="H30" i="31" s="1"/>
  <c r="G35" i="31" a="1"/>
  <c r="G35" i="31" s="1"/>
  <c r="I37" i="31" a="1"/>
  <c r="I37" i="31" s="1"/>
  <c r="J40" i="31" a="1"/>
  <c r="J40" i="31" s="1"/>
  <c r="J41" i="31" a="1"/>
  <c r="J41" i="31" s="1"/>
  <c r="J44" i="31" a="1"/>
  <c r="J44" i="31" s="1"/>
  <c r="J46" i="31" a="1"/>
  <c r="J46" i="31" s="1"/>
  <c r="J48" i="31" a="1"/>
  <c r="J48" i="31" s="1"/>
  <c r="J50" i="31" a="1"/>
  <c r="J50" i="31" s="1"/>
  <c r="J59" i="31" a="1"/>
  <c r="J59" i="31" s="1"/>
  <c r="A92" i="5"/>
  <c r="B108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D20" i="5" l="1" a="1"/>
  <c r="AP100" i="5" a="1"/>
  <c r="AP100" i="5" s="1"/>
  <c r="F100" i="5" a="1"/>
  <c r="F100" i="5" s="1"/>
  <c r="E100" i="5" a="1"/>
  <c r="E100" i="5" s="1"/>
  <c r="AR100" i="5" a="1"/>
  <c r="AR100" i="5" s="1"/>
  <c r="Y100" i="5" a="1"/>
  <c r="Y100" i="5" s="1"/>
  <c r="AL100" i="5" a="1"/>
  <c r="AL100" i="5" s="1"/>
  <c r="AV100" i="5" a="1"/>
  <c r="AV100" i="5" s="1"/>
  <c r="AN100" i="5" a="1"/>
  <c r="AN100" i="5" s="1"/>
  <c r="AK100" i="5" a="1"/>
  <c r="AK100" i="5" s="1"/>
  <c r="BF100" i="5" a="1"/>
  <c r="BF100" i="5" s="1"/>
  <c r="AC100" i="5" a="1"/>
  <c r="AC100" i="5" s="1"/>
  <c r="AJ100" i="5" a="1"/>
  <c r="AJ100" i="5" s="1"/>
  <c r="P100" i="5" a="1"/>
  <c r="P100" i="5" s="1"/>
  <c r="BE100" i="5" a="1"/>
  <c r="BE100" i="5" s="1"/>
  <c r="AD100" i="5" a="1"/>
  <c r="AD100" i="5" s="1"/>
  <c r="G100" i="5" a="1"/>
  <c r="G100" i="5" s="1"/>
  <c r="O100" i="5" a="1"/>
  <c r="O100" i="5" s="1"/>
  <c r="K100" i="5" a="1"/>
  <c r="K100" i="5" s="1"/>
  <c r="R100" i="5" a="1"/>
  <c r="R100" i="5" s="1"/>
  <c r="C100" i="5" a="1"/>
  <c r="C100" i="5" s="1"/>
  <c r="V100" i="5" a="1"/>
  <c r="V100" i="5" s="1"/>
  <c r="L100" i="5" a="1"/>
  <c r="L100" i="5" s="1"/>
  <c r="BG100" i="5" a="1"/>
  <c r="BG100" i="5" s="1"/>
  <c r="AM100" i="5" a="1"/>
  <c r="AM100" i="5" s="1"/>
  <c r="J100" i="5" a="1"/>
  <c r="J100" i="5" s="1"/>
  <c r="BA100" i="5" a="1"/>
  <c r="BA100" i="5" s="1"/>
  <c r="BH100" i="5" a="1"/>
  <c r="BH100" i="5" s="1"/>
  <c r="BI100" i="5" a="1"/>
  <c r="BI100" i="5" s="1"/>
  <c r="AA100" i="5" a="1"/>
  <c r="AA100" i="5" s="1"/>
  <c r="B100" i="5" a="1"/>
  <c r="B100" i="5" s="1"/>
  <c r="AF100" i="5" a="1"/>
  <c r="AF100" i="5" s="1"/>
  <c r="AG100" i="5" a="1"/>
  <c r="AG100" i="5" s="1"/>
  <c r="AX100" i="5" a="1"/>
  <c r="AX100" i="5" s="1"/>
  <c r="AQ100" i="5" a="1"/>
  <c r="AQ100" i="5" s="1"/>
  <c r="M100" i="5" a="1"/>
  <c r="M100" i="5" s="1"/>
  <c r="AU100" i="5" a="1"/>
  <c r="AU100" i="5" s="1"/>
  <c r="I100" i="5" a="1"/>
  <c r="I100" i="5" s="1"/>
  <c r="X100" i="5" a="1"/>
  <c r="X100" i="5" s="1"/>
  <c r="AO100" i="5" a="1"/>
  <c r="AO100" i="5" s="1"/>
  <c r="BC100" i="5" a="1"/>
  <c r="BC100" i="5" s="1"/>
  <c r="Q100" i="5" a="1"/>
  <c r="Q100" i="5" s="1"/>
  <c r="AI100" i="5" a="1"/>
  <c r="AI100" i="5" s="1"/>
  <c r="B68" i="5" a="1"/>
  <c r="B69" i="5" a="1"/>
  <c r="AT100" i="5" a="1"/>
  <c r="AT100" i="5" s="1"/>
  <c r="T100" i="5" a="1"/>
  <c r="T100" i="5" s="1"/>
  <c r="AY100" i="5" a="1"/>
  <c r="AY100" i="5" s="1"/>
  <c r="W100" i="5" a="1"/>
  <c r="W100" i="5" s="1"/>
  <c r="BD100" i="5" a="1"/>
  <c r="BD100" i="5" s="1"/>
  <c r="AZ100" i="5" a="1"/>
  <c r="AZ100" i="5" s="1"/>
  <c r="AW100" i="5" a="1"/>
  <c r="AW100" i="5" s="1"/>
  <c r="D100" i="5" a="1"/>
  <c r="D100" i="5" s="1"/>
  <c r="U100" i="5" a="1"/>
  <c r="U100" i="5" s="1"/>
  <c r="S100" i="5" a="1"/>
  <c r="S100" i="5" s="1"/>
  <c r="AH100" i="5" a="1"/>
  <c r="AH100" i="5" s="1"/>
  <c r="AS100" i="5" a="1"/>
  <c r="AS100" i="5" s="1"/>
  <c r="AE100" i="5" a="1"/>
  <c r="AE100" i="5" s="1"/>
  <c r="Z100" i="5" a="1"/>
  <c r="Z100" i="5" s="1"/>
  <c r="BB100" i="5" a="1"/>
  <c r="BB100" i="5" s="1"/>
  <c r="N100" i="5" a="1"/>
  <c r="N100" i="5" s="1"/>
  <c r="H100" i="5" a="1"/>
  <c r="H100" i="5" s="1"/>
  <c r="AB100" i="5" a="1"/>
  <c r="AB100" i="5" s="1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BR6" i="5" l="1" a="1"/>
  <c r="BR6" i="5" s="1"/>
  <c r="BV6" i="5" s="1"/>
  <c r="BR11" i="5" a="1"/>
  <c r="BR11" i="5" s="1"/>
  <c r="BR24" i="5" a="1"/>
  <c r="BR24" i="5" s="1"/>
  <c r="BR30" i="5" a="1"/>
  <c r="BR30" i="5" s="1"/>
  <c r="BR49" i="5" a="1"/>
  <c r="BR49" i="5" s="1"/>
  <c r="BR19" i="5" a="1"/>
  <c r="BR19" i="5" s="1"/>
  <c r="BR27" i="5" a="1"/>
  <c r="BR27" i="5" s="1"/>
  <c r="BR44" i="5" a="1"/>
  <c r="BR44" i="5" s="1"/>
  <c r="BR62" i="5" a="1"/>
  <c r="BR62" i="5" s="1"/>
  <c r="BR7" i="5" a="1"/>
  <c r="BR7" i="5" s="1"/>
  <c r="BR16" i="5" a="1"/>
  <c r="BR16" i="5" s="1"/>
  <c r="BR14" i="5" a="1"/>
  <c r="BR14" i="5" s="1"/>
  <c r="BV14" i="5" s="1"/>
  <c r="BR34" i="5" a="1"/>
  <c r="BR34" i="5" s="1"/>
  <c r="BR39" i="5" a="1"/>
  <c r="BR39" i="5" s="1"/>
  <c r="BR52" i="5" a="1"/>
  <c r="BR52" i="5" s="1"/>
  <c r="BR57" i="5" a="1"/>
  <c r="BR57" i="5" s="1"/>
  <c r="BR41" i="5" a="1"/>
  <c r="BR41" i="5" s="1"/>
  <c r="BR9" i="5" a="1"/>
  <c r="BR9" i="5" s="1"/>
  <c r="BR22" i="5" a="1"/>
  <c r="BR22" i="5" s="1"/>
  <c r="BR42" i="5" a="1"/>
  <c r="BR42" i="5" s="1"/>
  <c r="BR47" i="5" a="1"/>
  <c r="BR47" i="5" s="1"/>
  <c r="BR60" i="5" a="1"/>
  <c r="BR60" i="5" s="1"/>
  <c r="BR28" i="5" a="1"/>
  <c r="BR28" i="5" s="1"/>
  <c r="BR50" i="5" a="1"/>
  <c r="BR50" i="5" s="1"/>
  <c r="BR36" i="5" a="1"/>
  <c r="BR36" i="5" s="1"/>
  <c r="BR12" i="5" a="1"/>
  <c r="BR12" i="5" s="1"/>
  <c r="BR17" i="5" a="1"/>
  <c r="BR17" i="5" s="1"/>
  <c r="BR25" i="5" a="1"/>
  <c r="BR25" i="5" s="1"/>
  <c r="BR31" i="5" a="1"/>
  <c r="BR31" i="5" s="1"/>
  <c r="BR37" i="5" a="1"/>
  <c r="BR37" i="5" s="1"/>
  <c r="BR55" i="5" a="1"/>
  <c r="BR55" i="5" s="1"/>
  <c r="BR54" i="5" a="1"/>
  <c r="BR54" i="5" s="1"/>
  <c r="BR20" i="5" a="1"/>
  <c r="BR20" i="5" s="1"/>
  <c r="BR40" i="5" a="1"/>
  <c r="BR40" i="5" s="1"/>
  <c r="BR45" i="5" a="1"/>
  <c r="BR45" i="5" s="1"/>
  <c r="BV45" i="5" s="1"/>
  <c r="BR58" i="5" a="1"/>
  <c r="BR58" i="5" s="1"/>
  <c r="BR63" i="5" a="1"/>
  <c r="BR63" i="5" s="1"/>
  <c r="BR43" i="5" a="1"/>
  <c r="BR43" i="5" s="1"/>
  <c r="BR59" i="5" a="1"/>
  <c r="BR59" i="5" s="1"/>
  <c r="BR10" i="5" a="1"/>
  <c r="BR10" i="5" s="1"/>
  <c r="BR15" i="5" a="1"/>
  <c r="BR15" i="5" s="1"/>
  <c r="BR35" i="5" a="1"/>
  <c r="BR35" i="5" s="1"/>
  <c r="BR48" i="5" a="1"/>
  <c r="BR48" i="5" s="1"/>
  <c r="BR53" i="5" a="1"/>
  <c r="BR53" i="5" s="1"/>
  <c r="BR18" i="5" a="1"/>
  <c r="BR18" i="5" s="1"/>
  <c r="BR23" i="5" a="1"/>
  <c r="BR23" i="5" s="1"/>
  <c r="BR61" i="5" a="1"/>
  <c r="BR61" i="5" s="1"/>
  <c r="BR21" i="5" a="1"/>
  <c r="BR21" i="5" s="1"/>
  <c r="BR13" i="5" a="1"/>
  <c r="BR13" i="5" s="1"/>
  <c r="BR26" i="5" a="1"/>
  <c r="BR26" i="5" s="1"/>
  <c r="BV26" i="5" s="1"/>
  <c r="BR29" i="5" a="1"/>
  <c r="BR29" i="5" s="1"/>
  <c r="BR38" i="5" a="1"/>
  <c r="BR38" i="5" s="1"/>
  <c r="BR56" i="5" a="1"/>
  <c r="BR56" i="5" s="1"/>
  <c r="BR33" i="5" a="1"/>
  <c r="BR33" i="5" s="1"/>
  <c r="BR46" i="5" a="1"/>
  <c r="BR46" i="5" s="1"/>
  <c r="BR51" i="5" a="1"/>
  <c r="BR51" i="5" s="1"/>
  <c r="BR8" i="5" a="1"/>
  <c r="BR8" i="5" s="1"/>
  <c r="BR64" i="5" a="1"/>
  <c r="BR64" i="5" s="1"/>
  <c r="BR32" i="5" a="1"/>
  <c r="BR32" i="5" s="1"/>
  <c r="BV32" i="5" s="1"/>
  <c r="D20" i="5"/>
  <c r="BR5" i="5" s="1" a="1"/>
  <c r="BR5" i="5" s="1"/>
  <c r="BV5" i="5" s="1"/>
  <c r="BT6" i="5"/>
  <c r="BV24" i="5"/>
  <c r="BV19" i="5"/>
  <c r="BV38" i="5"/>
  <c r="B68" i="5"/>
  <c r="B77" i="5" s="1"/>
  <c r="B74" i="5"/>
  <c r="B69" i="5"/>
  <c r="B87" i="5" s="1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BT43" i="5" l="1"/>
  <c r="BV43" i="5"/>
  <c r="BT22" i="5"/>
  <c r="BV22" i="5"/>
  <c r="BT34" i="5"/>
  <c r="BV34" i="5"/>
  <c r="BT50" i="5"/>
  <c r="BV50" i="5"/>
  <c r="BT51" i="5"/>
  <c r="BV51" i="5"/>
  <c r="BT42" i="5"/>
  <c r="BV42" i="5"/>
  <c r="BT54" i="5"/>
  <c r="BV54" i="5"/>
  <c r="BT64" i="5"/>
  <c r="BV64" i="5"/>
  <c r="BT25" i="5"/>
  <c r="BV25" i="5"/>
  <c r="BT9" i="5"/>
  <c r="BV9" i="5"/>
  <c r="BT21" i="5"/>
  <c r="BV21" i="5"/>
  <c r="BT37" i="5"/>
  <c r="BV37" i="5"/>
  <c r="BT46" i="5"/>
  <c r="BV46" i="5"/>
  <c r="BT7" i="5"/>
  <c r="BV7" i="5"/>
  <c r="BT16" i="5"/>
  <c r="BV16" i="5"/>
  <c r="BT62" i="5"/>
  <c r="BV62" i="5"/>
  <c r="BT33" i="5"/>
  <c r="BV33" i="5"/>
  <c r="BT49" i="5"/>
  <c r="BV49" i="5"/>
  <c r="BT20" i="5"/>
  <c r="BV20" i="5"/>
  <c r="BT57" i="5"/>
  <c r="BV57" i="5"/>
  <c r="BT52" i="5"/>
  <c r="BV52" i="5"/>
  <c r="BT27" i="5"/>
  <c r="BV27" i="5"/>
  <c r="BT48" i="5"/>
  <c r="BV48" i="5"/>
  <c r="BT59" i="5"/>
  <c r="BV59" i="5"/>
  <c r="BT28" i="5"/>
  <c r="BV28" i="5"/>
  <c r="BT56" i="5"/>
  <c r="BV56" i="5"/>
  <c r="BT47" i="5"/>
  <c r="BV47" i="5"/>
  <c r="BT58" i="5"/>
  <c r="BV58" i="5"/>
  <c r="BT29" i="5"/>
  <c r="BV29" i="5"/>
  <c r="BT40" i="5"/>
  <c r="BV40" i="5"/>
  <c r="BT53" i="5"/>
  <c r="BV53" i="5"/>
  <c r="BT35" i="5"/>
  <c r="BV35" i="5"/>
  <c r="BT44" i="5"/>
  <c r="BV44" i="5"/>
  <c r="BT41" i="5"/>
  <c r="BV41" i="5"/>
  <c r="BT15" i="5"/>
  <c r="BV15" i="5"/>
  <c r="BT11" i="5"/>
  <c r="BV11" i="5"/>
  <c r="BT31" i="5"/>
  <c r="BV31" i="5"/>
  <c r="BT63" i="5"/>
  <c r="BV63" i="5"/>
  <c r="BT39" i="5"/>
  <c r="BV39" i="5"/>
  <c r="BT30" i="5"/>
  <c r="BV30" i="5"/>
  <c r="BT55" i="5"/>
  <c r="BV55" i="5"/>
  <c r="BT36" i="5"/>
  <c r="BV36" i="5"/>
  <c r="BT10" i="5"/>
  <c r="BV10" i="5"/>
  <c r="BT12" i="5"/>
  <c r="BV12" i="5"/>
  <c r="BT18" i="5"/>
  <c r="BV18" i="5"/>
  <c r="BT13" i="5"/>
  <c r="BV13" i="5"/>
  <c r="BT61" i="5"/>
  <c r="BV61" i="5"/>
  <c r="BT17" i="5"/>
  <c r="BV17" i="5"/>
  <c r="BT60" i="5"/>
  <c r="BV60" i="5"/>
  <c r="BT8" i="5"/>
  <c r="BV8" i="5"/>
  <c r="BT23" i="5"/>
  <c r="BV23" i="5"/>
  <c r="CZ5" i="5" a="1"/>
  <c r="CZ5" i="5" s="1"/>
  <c r="BT24" i="5"/>
  <c r="BT38" i="5"/>
  <c r="BT45" i="5"/>
  <c r="BT19" i="5"/>
  <c r="BT32" i="5"/>
  <c r="CH5" i="5" a="1"/>
  <c r="BT14" i="5"/>
  <c r="BT26" i="5"/>
  <c r="CQ5" i="5" a="1"/>
  <c r="BT5" i="5"/>
  <c r="B78" i="5"/>
  <c r="A66" i="5" s="1"/>
  <c r="B89" i="5"/>
  <c r="A74" i="5"/>
  <c r="B72" i="5"/>
  <c r="B73" i="5"/>
  <c r="B82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BY5" i="5" l="1" a="1"/>
  <c r="CF16" i="5" s="1"/>
  <c r="CO6" i="5"/>
  <c r="CO10" i="5"/>
  <c r="CO7" i="5"/>
  <c r="CO8" i="5"/>
  <c r="CO9" i="5"/>
  <c r="CO11" i="5"/>
  <c r="CO12" i="5"/>
  <c r="CO13" i="5"/>
  <c r="CH5" i="5"/>
  <c r="CO5" i="5" s="1"/>
  <c r="CX6" i="5"/>
  <c r="CX18" i="5"/>
  <c r="CX7" i="5"/>
  <c r="CX19" i="5"/>
  <c r="CX8" i="5"/>
  <c r="CX20" i="5"/>
  <c r="CX9" i="5"/>
  <c r="CX21" i="5"/>
  <c r="CX10" i="5"/>
  <c r="CX22" i="5"/>
  <c r="CX11" i="5"/>
  <c r="CX23" i="5"/>
  <c r="CX13" i="5"/>
  <c r="CX12" i="5"/>
  <c r="CX24" i="5"/>
  <c r="CX14" i="5"/>
  <c r="CX15" i="5"/>
  <c r="CX16" i="5"/>
  <c r="CX17" i="5"/>
  <c r="CX25" i="5"/>
  <c r="CQ5" i="5"/>
  <c r="CX5" i="5" s="1"/>
  <c r="B79" i="5"/>
  <c r="B84" i="5"/>
  <c r="A69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BY5" i="5" l="1"/>
  <c r="CF5" i="5" s="1"/>
  <c r="CF11" i="5"/>
  <c r="CF14" i="5"/>
  <c r="CF8" i="5"/>
  <c r="CF15" i="5"/>
  <c r="CF25" i="5"/>
  <c r="CF19" i="5"/>
  <c r="CF26" i="5"/>
  <c r="CF13" i="5"/>
  <c r="CF18" i="5"/>
  <c r="CF27" i="5"/>
  <c r="CF24" i="5"/>
  <c r="CF6" i="5"/>
  <c r="CF20" i="5"/>
  <c r="CF12" i="5"/>
  <c r="CF17" i="5"/>
  <c r="CF23" i="5"/>
  <c r="CF22" i="5"/>
  <c r="CF7" i="5"/>
  <c r="CF21" i="5"/>
  <c r="CF9" i="5"/>
  <c r="CF10" i="5"/>
  <c r="W13" i="10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23" i="7" a="1"/>
  <c r="K32" i="7" a="1"/>
  <c r="K45" i="7" a="1"/>
  <c r="K41" i="7" a="1"/>
  <c r="K27" i="7" a="1"/>
  <c r="K51" i="7" a="1"/>
  <c r="K49" i="7" a="1"/>
  <c r="K42" i="7" a="1"/>
  <c r="K33" i="7" a="1"/>
  <c r="K7" i="7" a="1"/>
  <c r="K25" i="7" a="1"/>
  <c r="K10" i="7" a="1"/>
  <c r="K30" i="7" a="1"/>
  <c r="K20" i="7" a="1"/>
  <c r="K43" i="7" a="1"/>
  <c r="K53" i="7" a="1"/>
  <c r="K22" i="7" a="1"/>
  <c r="K14" i="7" a="1"/>
  <c r="K28" i="7" a="1"/>
  <c r="K46" i="7" a="1"/>
  <c r="K47" i="7" a="1"/>
  <c r="K31" i="7" a="1"/>
  <c r="K11" i="7" a="1"/>
  <c r="K50" i="7" a="1"/>
  <c r="K52" i="7" a="1"/>
  <c r="K35" i="7" a="1"/>
  <c r="K29" i="7" a="1"/>
  <c r="K24" i="7" a="1"/>
  <c r="K48" i="7" a="1"/>
  <c r="K16" i="7" a="1"/>
  <c r="K39" i="7" a="1"/>
  <c r="K9" i="7" a="1"/>
  <c r="K38" i="7" a="1"/>
  <c r="K3" i="7" a="1"/>
  <c r="K18" i="7" a="1"/>
  <c r="K44" i="7" a="1"/>
  <c r="K15" i="7" a="1"/>
  <c r="K26" i="7" a="1"/>
  <c r="K4" i="7" a="1"/>
  <c r="K6" i="7" a="1"/>
  <c r="K54" i="7" a="1"/>
  <c r="K13" i="7" a="1"/>
  <c r="K36" i="7" a="1"/>
  <c r="K34" i="7" a="1"/>
  <c r="K8" i="7" a="1"/>
  <c r="K40" i="7" a="1"/>
  <c r="K37" i="7" a="1"/>
  <c r="K17" i="7" a="1"/>
  <c r="K21" i="7" a="1"/>
  <c r="K12" i="7" a="1"/>
  <c r="K19" i="7" a="1"/>
  <c r="K5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K23" i="5" l="1"/>
  <c r="AY23" i="5"/>
  <c r="AM23" i="5"/>
  <c r="BA23" i="5"/>
  <c r="BJ23" i="5"/>
  <c r="AX23" i="5"/>
  <c r="AL23" i="5"/>
  <c r="BI23" i="5"/>
  <c r="AW23" i="5"/>
  <c r="BH23" i="5"/>
  <c r="AV23" i="5"/>
  <c r="BG23" i="5"/>
  <c r="AU23" i="5"/>
  <c r="BF23" i="5"/>
  <c r="AT23" i="5"/>
  <c r="BE23" i="5"/>
  <c r="AS23" i="5"/>
  <c r="AO23" i="5"/>
  <c r="BD23" i="5"/>
  <c r="AR23" i="5"/>
  <c r="BC23" i="5"/>
  <c r="AQ23" i="5"/>
  <c r="BB23" i="5"/>
  <c r="AP23" i="5"/>
  <c r="AZ23" i="5"/>
  <c r="AN23" i="5"/>
  <c r="C23" i="5"/>
  <c r="O23" i="5"/>
  <c r="AA23" i="5"/>
  <c r="S23" i="5"/>
  <c r="J23" i="5"/>
  <c r="L23" i="5"/>
  <c r="Z23" i="5"/>
  <c r="D23" i="5"/>
  <c r="P23" i="5"/>
  <c r="B23" i="5"/>
  <c r="T23" i="5"/>
  <c r="K23" i="5"/>
  <c r="E23" i="5"/>
  <c r="Q23" i="5"/>
  <c r="V23" i="5"/>
  <c r="Y23" i="5"/>
  <c r="F23" i="5"/>
  <c r="R23" i="5"/>
  <c r="U23" i="5"/>
  <c r="G23" i="5"/>
  <c r="X23" i="5"/>
  <c r="N23" i="5"/>
  <c r="H23" i="5"/>
  <c r="I23" i="5"/>
  <c r="W23" i="5"/>
  <c r="M23" i="5"/>
  <c r="AF32" i="5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D24" i="5"/>
  <c r="P24" i="5"/>
  <c r="B24" i="5"/>
  <c r="E24" i="5"/>
  <c r="Q24" i="5"/>
  <c r="F24" i="5"/>
  <c r="R24" i="5"/>
  <c r="Z24" i="5"/>
  <c r="G24" i="5"/>
  <c r="S24" i="5"/>
  <c r="H24" i="5"/>
  <c r="T24" i="5"/>
  <c r="I24" i="5"/>
  <c r="U24" i="5"/>
  <c r="J24" i="5"/>
  <c r="V24" i="5"/>
  <c r="K24" i="5"/>
  <c r="W24" i="5"/>
  <c r="L24" i="5"/>
  <c r="X24" i="5"/>
  <c r="M24" i="5"/>
  <c r="Y24" i="5"/>
  <c r="N24" i="5"/>
  <c r="BE36" i="5"/>
  <c r="AF36" i="5"/>
  <c r="E36" i="5"/>
  <c r="BE35" i="5"/>
  <c r="BD35" i="5" s="1"/>
  <c r="AF35" i="5"/>
  <c r="AE35" i="5" s="1"/>
  <c r="E35" i="5"/>
  <c r="E47" i="5"/>
  <c r="E48" i="5"/>
  <c r="E59" i="5"/>
  <c r="E60" i="5"/>
  <c r="C53" i="5" l="1"/>
  <c r="O53" i="5"/>
  <c r="AA53" i="5"/>
  <c r="AM53" i="5"/>
  <c r="AY53" i="5"/>
  <c r="AI53" i="5"/>
  <c r="L53" i="5"/>
  <c r="BI53" i="5"/>
  <c r="Z53" i="5"/>
  <c r="D53" i="5"/>
  <c r="P53" i="5"/>
  <c r="AB53" i="5"/>
  <c r="AN53" i="5"/>
  <c r="AZ53" i="5"/>
  <c r="AV53" i="5"/>
  <c r="Y53" i="5"/>
  <c r="B53" i="5"/>
  <c r="E53" i="5"/>
  <c r="Q53" i="5"/>
  <c r="AC53" i="5"/>
  <c r="AO53" i="5"/>
  <c r="BA53" i="5"/>
  <c r="BB53" i="5"/>
  <c r="BG53" i="5"/>
  <c r="AJ53" i="5"/>
  <c r="AW53" i="5"/>
  <c r="F53" i="5"/>
  <c r="R53" i="5"/>
  <c r="AD53" i="5"/>
  <c r="AP53" i="5"/>
  <c r="X53" i="5"/>
  <c r="G53" i="5"/>
  <c r="S53" i="5"/>
  <c r="AE53" i="5"/>
  <c r="AQ53" i="5"/>
  <c r="BC53" i="5"/>
  <c r="W53" i="5"/>
  <c r="M53" i="5"/>
  <c r="H53" i="5"/>
  <c r="T53" i="5"/>
  <c r="AF53" i="5"/>
  <c r="AR53" i="5"/>
  <c r="BD53" i="5"/>
  <c r="I53" i="5"/>
  <c r="U53" i="5"/>
  <c r="AG53" i="5"/>
  <c r="AS53" i="5"/>
  <c r="BE53" i="5"/>
  <c r="V53" i="5"/>
  <c r="AU53" i="5"/>
  <c r="AL53" i="5"/>
  <c r="J53" i="5"/>
  <c r="AH53" i="5"/>
  <c r="AT53" i="5"/>
  <c r="BF53" i="5"/>
  <c r="BH53" i="5"/>
  <c r="AK53" i="5"/>
  <c r="AX53" i="5"/>
  <c r="K53" i="5"/>
  <c r="N53" i="5"/>
  <c r="D54" i="5"/>
  <c r="P54" i="5"/>
  <c r="AB54" i="5"/>
  <c r="AN54" i="5"/>
  <c r="AZ54" i="5"/>
  <c r="S54" i="5"/>
  <c r="AG54" i="5"/>
  <c r="E54" i="5"/>
  <c r="Q54" i="5"/>
  <c r="AC54" i="5"/>
  <c r="AO54" i="5"/>
  <c r="BA54" i="5"/>
  <c r="G54" i="5"/>
  <c r="BE54" i="5"/>
  <c r="BG54" i="5"/>
  <c r="L54" i="5"/>
  <c r="AV54" i="5"/>
  <c r="C54" i="5"/>
  <c r="F54" i="5"/>
  <c r="R54" i="5"/>
  <c r="AD54" i="5"/>
  <c r="AP54" i="5"/>
  <c r="BB54" i="5"/>
  <c r="AQ54" i="5"/>
  <c r="U54" i="5"/>
  <c r="AU54" i="5"/>
  <c r="BH54" i="5"/>
  <c r="B54" i="5"/>
  <c r="AE54" i="5"/>
  <c r="BC54" i="5"/>
  <c r="O54" i="5"/>
  <c r="H54" i="5"/>
  <c r="T54" i="5"/>
  <c r="AF54" i="5"/>
  <c r="AR54" i="5"/>
  <c r="BD54" i="5"/>
  <c r="Y54" i="5"/>
  <c r="AA54" i="5"/>
  <c r="I54" i="5"/>
  <c r="AS54" i="5"/>
  <c r="AK54" i="5"/>
  <c r="Z54" i="5"/>
  <c r="AM54" i="5"/>
  <c r="J54" i="5"/>
  <c r="V54" i="5"/>
  <c r="AH54" i="5"/>
  <c r="AT54" i="5"/>
  <c r="BF54" i="5"/>
  <c r="K54" i="5"/>
  <c r="AI54" i="5"/>
  <c r="AJ54" i="5"/>
  <c r="M54" i="5"/>
  <c r="BI54" i="5"/>
  <c r="N54" i="5"/>
  <c r="AX54" i="5"/>
  <c r="W54" i="5"/>
  <c r="X54" i="5"/>
  <c r="AW54" i="5"/>
  <c r="AL54" i="5"/>
  <c r="AY54" i="5"/>
  <c r="D42" i="5"/>
  <c r="P42" i="5"/>
  <c r="AB42" i="5"/>
  <c r="AN42" i="5"/>
  <c r="AZ42" i="5"/>
  <c r="BE42" i="5"/>
  <c r="AU42" i="5"/>
  <c r="L42" i="5"/>
  <c r="AJ42" i="5"/>
  <c r="O42" i="5"/>
  <c r="E42" i="5"/>
  <c r="Q42" i="5"/>
  <c r="AC42" i="5"/>
  <c r="AO42" i="5"/>
  <c r="BA42" i="5"/>
  <c r="I42" i="5"/>
  <c r="U42" i="5"/>
  <c r="AI42" i="5"/>
  <c r="BH42" i="5"/>
  <c r="BI42" i="5"/>
  <c r="N42" i="5"/>
  <c r="F42" i="5"/>
  <c r="R42" i="5"/>
  <c r="AD42" i="5"/>
  <c r="AP42" i="5"/>
  <c r="BB42" i="5"/>
  <c r="AS42" i="5"/>
  <c r="M42" i="5"/>
  <c r="AX42" i="5"/>
  <c r="AA42" i="5"/>
  <c r="G42" i="5"/>
  <c r="S42" i="5"/>
  <c r="AE42" i="5"/>
  <c r="AQ42" i="5"/>
  <c r="BC42" i="5"/>
  <c r="H42" i="5"/>
  <c r="T42" i="5"/>
  <c r="AF42" i="5"/>
  <c r="AR42" i="5"/>
  <c r="BD42" i="5"/>
  <c r="AG42" i="5"/>
  <c r="Y42" i="5"/>
  <c r="AL42" i="5"/>
  <c r="C42" i="5"/>
  <c r="J42" i="5"/>
  <c r="V42" i="5"/>
  <c r="AH42" i="5"/>
  <c r="AT42" i="5"/>
  <c r="BF42" i="5"/>
  <c r="K42" i="5"/>
  <c r="W42" i="5"/>
  <c r="BG42" i="5"/>
  <c r="X42" i="5"/>
  <c r="AV42" i="5"/>
  <c r="AW42" i="5"/>
  <c r="Z42" i="5"/>
  <c r="AM42" i="5"/>
  <c r="AK42" i="5"/>
  <c r="B42" i="5"/>
  <c r="AY42" i="5"/>
  <c r="D35" i="5"/>
  <c r="C41" i="5"/>
  <c r="O41" i="5"/>
  <c r="AA41" i="5"/>
  <c r="AM41" i="5"/>
  <c r="AY41" i="5"/>
  <c r="BD41" i="5"/>
  <c r="X41" i="5"/>
  <c r="AK41" i="5"/>
  <c r="D41" i="5"/>
  <c r="P41" i="5"/>
  <c r="AB41" i="5"/>
  <c r="AN41" i="5"/>
  <c r="AZ41" i="5"/>
  <c r="BG41" i="5"/>
  <c r="AV41" i="5"/>
  <c r="Z41" i="5"/>
  <c r="E41" i="5"/>
  <c r="Q41" i="5"/>
  <c r="AC41" i="5"/>
  <c r="AO41" i="5"/>
  <c r="BA41" i="5"/>
  <c r="T41" i="5"/>
  <c r="K41" i="5"/>
  <c r="M41" i="5"/>
  <c r="F41" i="5"/>
  <c r="R41" i="5"/>
  <c r="AD41" i="5"/>
  <c r="AP41" i="5"/>
  <c r="BB41" i="5"/>
  <c r="AR41" i="5"/>
  <c r="W41" i="5"/>
  <c r="BH41" i="5"/>
  <c r="Y41" i="5"/>
  <c r="AX41" i="5"/>
  <c r="B41" i="5"/>
  <c r="G41" i="5"/>
  <c r="S41" i="5"/>
  <c r="AE41" i="5"/>
  <c r="AQ41" i="5"/>
  <c r="BC41" i="5"/>
  <c r="AF41" i="5"/>
  <c r="AI41" i="5"/>
  <c r="AJ41" i="5"/>
  <c r="AW41" i="5"/>
  <c r="H41" i="5"/>
  <c r="I41" i="5"/>
  <c r="U41" i="5"/>
  <c r="AG41" i="5"/>
  <c r="AS41" i="5"/>
  <c r="BE41" i="5"/>
  <c r="J41" i="5"/>
  <c r="AH41" i="5"/>
  <c r="AT41" i="5"/>
  <c r="BF41" i="5"/>
  <c r="L41" i="5"/>
  <c r="AL41" i="5"/>
  <c r="V41" i="5"/>
  <c r="BI41" i="5"/>
  <c r="AU41" i="5"/>
  <c r="N41" i="5"/>
  <c r="BE37" i="5"/>
  <c r="B37" i="5"/>
  <c r="AF37" i="5"/>
  <c r="AE36" i="5"/>
  <c r="D36" i="5"/>
  <c r="BD36" i="5"/>
  <c r="D47" i="5"/>
  <c r="AY50" i="5" l="1"/>
  <c r="AG14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W4" i="3" a="1"/>
  <c r="W6" i="3" a="1"/>
  <c r="V3" i="3" a="1"/>
  <c r="V6" i="3" a="1"/>
  <c r="W5" i="3" a="1"/>
  <c r="W3" i="3" a="1"/>
  <c r="V4" i="3" a="1"/>
  <c r="V5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3" i="3" a="1"/>
  <c r="X5" i="3" a="1"/>
  <c r="X6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6" i="3" a="1"/>
  <c r="Y4" i="3" a="1"/>
  <c r="Y3" i="3" a="1"/>
  <c r="Y5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4" i="3" a="1"/>
  <c r="AA5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6" i="3" a="1"/>
  <c r="AB5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6" i="3" a="1"/>
  <c r="AC3" i="3" a="1"/>
  <c r="AC4" i="3" a="1"/>
  <c r="AC5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6" i="3" a="1"/>
  <c r="AD3" i="3" a="1"/>
  <c r="AD4" i="3" a="1"/>
  <c r="AD5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3" i="3" a="1"/>
  <c r="AE4" i="3" a="1"/>
  <c r="AE6" i="3" a="1"/>
  <c r="AE5" i="3" a="1"/>
  <c r="AE4" i="3" l="1"/>
  <c r="AE3" i="3"/>
  <c r="AE5" i="3"/>
  <c r="AE6" i="3"/>
  <c r="AG2" i="3"/>
  <c r="AF4" i="3" a="1"/>
  <c r="AF3" i="3" a="1"/>
  <c r="AF6" i="3" a="1"/>
  <c r="AF5" i="3" a="1"/>
  <c r="AF5" i="3" l="1"/>
  <c r="AF3" i="3"/>
  <c r="AF6" i="3"/>
  <c r="AF4" i="3"/>
  <c r="AH2" i="3"/>
  <c r="AG3" i="3" a="1"/>
  <c r="AG4" i="3" a="1"/>
  <c r="AG5" i="3" a="1"/>
  <c r="AG6" i="3" a="1"/>
  <c r="AG5" i="3" l="1"/>
  <c r="AG6" i="3"/>
  <c r="AG3" i="3"/>
  <c r="AG4" i="3"/>
  <c r="AI2" i="3"/>
  <c r="AH5" i="3" a="1"/>
  <c r="AH4" i="3" a="1"/>
  <c r="AH6" i="3" a="1"/>
  <c r="AH3" i="3" a="1"/>
  <c r="AH6" i="3" l="1"/>
  <c r="AH4" i="3"/>
  <c r="AH5" i="3"/>
  <c r="AH3" i="3"/>
  <c r="AJ2" i="3"/>
  <c r="AI5" i="3" a="1"/>
  <c r="AI3" i="3" a="1"/>
  <c r="AI4" i="3" a="1"/>
  <c r="AI6" i="3" a="1"/>
  <c r="AI3" i="3" l="1"/>
  <c r="AI4" i="3"/>
  <c r="AI6" i="3"/>
  <c r="AI5" i="3"/>
  <c r="AK2" i="3"/>
  <c r="AJ5" i="3" a="1"/>
  <c r="AJ6" i="3" a="1"/>
  <c r="AJ4" i="3" a="1"/>
  <c r="AJ3" i="3" a="1"/>
  <c r="AJ6" i="3" l="1"/>
  <c r="AJ4" i="3"/>
  <c r="AJ3" i="3"/>
  <c r="AJ5" i="3"/>
  <c r="AL2" i="3"/>
  <c r="AK5" i="3" a="1"/>
  <c r="AK4" i="3" a="1"/>
  <c r="AK3" i="3" a="1"/>
  <c r="AK6" i="3" a="1"/>
  <c r="AK3" i="3" l="1"/>
  <c r="AK6" i="3"/>
  <c r="AK5" i="3"/>
  <c r="AK4" i="3"/>
  <c r="AM2" i="3"/>
  <c r="AL6" i="3" a="1"/>
  <c r="AL5" i="3" a="1"/>
  <c r="AL3" i="3" a="1"/>
  <c r="AL4" i="3" a="1"/>
  <c r="AL6" i="3" l="1"/>
  <c r="AL4" i="3"/>
  <c r="AL5" i="3"/>
  <c r="AL3" i="3"/>
  <c r="AN2" i="3"/>
  <c r="AM4" i="3" a="1"/>
  <c r="AM6" i="3" a="1"/>
  <c r="AM5" i="3" a="1"/>
  <c r="AM3" i="3" a="1"/>
  <c r="AM5" i="3" l="1"/>
  <c r="AM6" i="3"/>
  <c r="AM3" i="3"/>
  <c r="AM4" i="3"/>
  <c r="AO2" i="3"/>
  <c r="AN5" i="3" a="1"/>
  <c r="AN4" i="3" a="1"/>
  <c r="AN6" i="3" a="1"/>
  <c r="AN3" i="3" a="1"/>
  <c r="AN6" i="3" l="1"/>
  <c r="AN5" i="3"/>
  <c r="AN4" i="3"/>
  <c r="AN3" i="3"/>
  <c r="AP2" i="3"/>
  <c r="AO6" i="3" a="1"/>
  <c r="AO4" i="3" a="1"/>
  <c r="AO5" i="3" a="1"/>
  <c r="AO3" i="3" a="1"/>
  <c r="AO4" i="3" l="1"/>
  <c r="AO3" i="3"/>
  <c r="AO5" i="3"/>
  <c r="AO6" i="3"/>
  <c r="AQ2" i="3"/>
  <c r="AP5" i="3" a="1"/>
  <c r="AP4" i="3" a="1"/>
  <c r="AP6" i="3" a="1"/>
  <c r="AP3" i="3" a="1"/>
  <c r="AP4" i="3" l="1"/>
  <c r="AP6" i="3"/>
  <c r="AP3" i="3"/>
  <c r="AP5" i="3"/>
  <c r="AR2" i="3"/>
  <c r="AQ6" i="3" a="1"/>
  <c r="AQ3" i="3" a="1"/>
  <c r="AQ5" i="3" a="1"/>
  <c r="AQ4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5" i="3" a="1"/>
  <c r="AS4" i="3" a="1"/>
  <c r="AS3" i="3" a="1"/>
  <c r="AS6" i="3" a="1"/>
  <c r="AS3" i="3" l="1"/>
  <c r="AS5" i="3"/>
  <c r="AS4" i="3"/>
  <c r="AS6" i="3"/>
  <c r="AU2" i="3"/>
  <c r="AT6" i="3" a="1"/>
  <c r="AT5" i="3" a="1"/>
  <c r="AT4" i="3" a="1"/>
  <c r="AT3" i="3" a="1"/>
  <c r="AT5" i="3" l="1"/>
  <c r="AT4" i="3"/>
  <c r="AT6" i="3"/>
  <c r="AT3" i="3"/>
  <c r="AV2" i="3"/>
  <c r="AU4" i="3" a="1"/>
  <c r="AU6" i="3" a="1"/>
  <c r="AU3" i="3" a="1"/>
  <c r="AU5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4" i="3" a="1"/>
  <c r="AW5" i="3" a="1"/>
  <c r="AW5" i="3" l="1"/>
  <c r="AW6" i="3"/>
  <c r="AW3" i="3"/>
  <c r="AW4" i="3"/>
  <c r="AY2" i="3"/>
  <c r="AX6" i="3" a="1"/>
  <c r="AX4" i="3" a="1"/>
  <c r="AX5" i="3" a="1"/>
  <c r="AX3" i="3" a="1"/>
  <c r="AX3" i="3" l="1"/>
  <c r="AX5" i="3"/>
  <c r="AX4" i="3"/>
  <c r="AX6" i="3"/>
  <c r="AZ2" i="3"/>
  <c r="AY5" i="3" a="1"/>
  <c r="AY6" i="3" a="1"/>
  <c r="AY3" i="3" a="1"/>
  <c r="AY4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6" i="3" a="1"/>
  <c r="BA4" i="3" a="1"/>
  <c r="BA3" i="3" l="1"/>
  <c r="BA4" i="3"/>
  <c r="BA5" i="3"/>
  <c r="BA6" i="3"/>
  <c r="BC2" i="3"/>
  <c r="BB3" i="3" a="1"/>
  <c r="BB4" i="3" a="1"/>
  <c r="BB6" i="3" a="1"/>
  <c r="BB5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5" i="3" a="1"/>
  <c r="BJ3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3" i="3" a="1"/>
  <c r="BL5" i="3" a="1"/>
  <c r="BL5" i="3" l="1"/>
  <c r="BL6" i="3"/>
  <c r="BL3" i="3"/>
  <c r="BL4" i="3"/>
  <c r="BN2" i="3"/>
  <c r="BM5" i="3" a="1"/>
  <c r="BM3" i="3" a="1"/>
  <c r="BM4" i="3" a="1"/>
  <c r="BM6" i="3" a="1"/>
  <c r="BM5" i="3" l="1"/>
  <c r="BM6" i="3"/>
  <c r="BM4" i="3"/>
  <c r="BM3" i="3"/>
  <c r="BO2" i="3"/>
  <c r="BN5" i="3" a="1"/>
  <c r="BN6" i="3" a="1"/>
  <c r="BN3" i="3" a="1"/>
  <c r="BN4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4" i="3" a="1"/>
  <c r="BP6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3" i="3" a="1"/>
  <c r="BS5" i="3" a="1"/>
  <c r="BS4" i="3" a="1"/>
  <c r="BS4" i="3" l="1"/>
  <c r="BS5" i="3"/>
  <c r="BS6" i="3"/>
  <c r="BS3" i="3"/>
  <c r="BU2" i="3"/>
  <c r="BT4" i="3" a="1"/>
  <c r="BT3" i="3" a="1"/>
  <c r="BT5" i="3" a="1"/>
  <c r="BT6" i="3" a="1"/>
  <c r="BT4" i="3" l="1"/>
  <c r="BT6" i="3"/>
  <c r="BT3" i="3"/>
  <c r="BT5" i="3"/>
  <c r="BV2" i="3"/>
  <c r="BU6" i="3" a="1"/>
  <c r="BU5" i="3" a="1"/>
  <c r="BU3" i="3" a="1"/>
  <c r="BU4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4" i="3" a="1"/>
  <c r="BW3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48" i="5"/>
  <c r="D60" i="5"/>
  <c r="B49" i="5" l="1"/>
  <c r="D59" i="5" l="1"/>
  <c r="B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<sst xmlns="http://schemas.openxmlformats.org/spreadsheetml/2006/main" count="25360" uniqueCount="8817">
  <si>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</si>
  <si>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</si>
  <si>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</si>
  <si>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</si>
  <si>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</si>
  <si>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</si>
  <si>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</si>
  <si>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</si>
  <si>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</si>
  <si>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</si>
  <si>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</si>
  <si>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</si>
  <si>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</si>
  <si>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</si>
  <si>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</si>
  <si>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</si>
  <si>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</si>
  <si>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</si>
  <si>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</si>
  <si>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</si>
  <si>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</si>
  <si>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</si>
  <si>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</si>
  <si>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</si>
  <si>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</si>
  <si>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</si>
  <si>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</si>
  <si>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</si>
  <si>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</si>
  <si>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</si>
  <si>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</si>
  <si>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</si>
  <si>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</si>
  <si>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</si>
  <si>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</si>
  <si>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</si>
  <si>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</si>
  <si>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</si>
  <si>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</si>
  <si>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</si>
  <si>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</si>
  <si>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</si>
  <si>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</si>
  <si>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</si>
  <si>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</si>
  <si>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</si>
  <si>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</si>
  <si>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</si>
  <si>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</si>
  <si>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</si>
  <si>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</si>
  <si>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</si>
  <si>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</si>
  <si>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</si>
  <si>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</si>
  <si>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</si>
  <si>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</si>
  <si>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</si>
  <si>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</si>
  <si>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</si>
  <si>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</si>
  <si>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</si>
  <si>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</si>
  <si>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</si>
  <si>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</si>
  <si>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</si>
  <si>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</si>
  <si>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</si>
  <si>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</si>
  <si>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</si>
  <si>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</si>
  <si>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</si>
  <si>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</si>
  <si>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</si>
  <si>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</si>
  <si>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</si>
  <si>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</si>
  <si>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</si>
  <si>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</si>
  <si>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</si>
  <si>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</si>
  <si>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</si>
  <si>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</si>
  <si>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</si>
  <si>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</si>
  <si>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</si>
  <si>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</si>
  <si>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</si>
  <si>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</si>
  <si>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</si>
  <si>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</si>
  <si>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</si>
  <si>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</si>
  <si>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</si>
  <si>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</si>
  <si>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</si>
  <si>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</si>
  <si>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</si>
  <si>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</si>
  <si>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</si>
  <si>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</si>
  <si>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</si>
  <si>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</si>
  <si>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</si>
  <si>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</si>
  <si>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</si>
  <si>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</si>
  <si>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</si>
  <si>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</si>
  <si>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</si>
  <si>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</si>
  <si>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</si>
  <si>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</si>
  <si>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</si>
  <si>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</si>
  <si>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</si>
  <si>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</si>
  <si>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</si>
  <si>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</si>
  <si>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</si>
  <si>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</si>
  <si>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</si>
  <si>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</si>
  <si>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</si>
  <si>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</si>
  <si>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</si>
  <si>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</si>
  <si>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</si>
  <si>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</si>
  <si>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</si>
  <si>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</si>
  <si>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</si>
  <si>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</si>
  <si>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</si>
  <si>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</si>
  <si>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</si>
  <si>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</si>
  <si>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</si>
  <si>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</si>
  <si>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</si>
  <si>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</si>
  <si>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</si>
  <si>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</si>
  <si>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</si>
  <si>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</si>
  <si>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</si>
  <si>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</si>
  <si>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</si>
  <si>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</si>
  <si>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</si>
  <si>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</si>
  <si>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</si>
  <si>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</si>
  <si>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</si>
  <si>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</si>
  <si>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</si>
  <si>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</si>
  <si>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</si>
  <si>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</si>
  <si>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</si>
  <si>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</si>
  <si>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</si>
  <si>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</si>
  <si>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</si>
  <si>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</si>
  <si>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</si>
  <si>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</si>
  <si>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</si>
  <si>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</si>
  <si>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</si>
  <si>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</si>
  <si>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</si>
  <si>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</si>
  <si>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</si>
  <si>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</si>
  <si>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</si>
  <si>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</si>
  <si>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</si>
  <si>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</si>
  <si>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</si>
  <si>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</si>
  <si>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</si>
  <si>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</si>
  <si>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</si>
  <si>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</si>
  <si>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</si>
  <si>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</si>
  <si>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</si>
  <si>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</si>
  <si>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</si>
  <si>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</si>
  <si>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</si>
  <si>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</si>
  <si>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</si>
  <si>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</si>
  <si>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</si>
  <si>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</si>
  <si>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</si>
  <si>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</si>
  <si>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</si>
  <si>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</si>
  <si>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</si>
  <si>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</si>
  <si>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</si>
  <si>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</si>
  <si>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</si>
  <si>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</si>
  <si>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</si>
  <si>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</si>
  <si>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</si>
  <si>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</si>
  <si>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</si>
  <si>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</si>
  <si>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</si>
  <si>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</si>
  <si>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</si>
  <si>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</si>
  <si>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</si>
  <si>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</si>
  <si>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</si>
  <si>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</si>
  <si>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</si>
  <si>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</si>
  <si>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</si>
  <si>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</si>
  <si>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</si>
  <si>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</si>
  <si>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</si>
  <si>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</si>
  <si>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</si>
  <si>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</si>
  <si>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</si>
  <si>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</si>
  <si>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</si>
  <si>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</si>
  <si>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</si>
  <si>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</si>
  <si>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</si>
  <si>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</si>
  <si>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</si>
  <si>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</si>
  <si>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</si>
  <si>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</si>
  <si>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</si>
  <si>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</si>
  <si>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</si>
  <si>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</si>
  <si>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</si>
  <si>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</si>
  <si>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</si>
  <si>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</si>
  <si>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</si>
  <si>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</si>
  <si>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</si>
  <si>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</si>
  <si>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</si>
  <si>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</si>
  <si>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</si>
  <si>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</si>
  <si>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</si>
  <si>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</si>
  <si>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</si>
  <si>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</si>
  <si>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</si>
  <si>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</si>
  <si>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</si>
  <si>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</si>
  <si>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</si>
  <si>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</si>
  <si>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</si>
  <si>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</si>
  <si>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</si>
  <si>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</si>
  <si>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</si>
  <si>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</si>
  <si>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</si>
  <si>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</si>
  <si>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</si>
  <si>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</si>
  <si>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</si>
  <si>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</si>
  <si>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</si>
  <si>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</si>
  <si>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</si>
  <si>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</si>
  <si>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</si>
  <si>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</si>
  <si>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</si>
  <si>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</si>
  <si>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</si>
  <si>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</si>
  <si>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</si>
  <si>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</si>
  <si>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</si>
  <si>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</si>
  <si>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</si>
  <si>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</si>
  <si>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</si>
  <si>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</si>
  <si>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</si>
  <si>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</si>
  <si>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</si>
  <si>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</si>
  <si>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</si>
  <si>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</si>
  <si>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</si>
  <si>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</si>
  <si>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</si>
  <si>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</si>
  <si>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</si>
  <si>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</si>
  <si>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</si>
  <si>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</si>
  <si>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</si>
  <si>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</si>
  <si>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</si>
  <si>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</si>
  <si>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</si>
  <si>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</si>
  <si>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</si>
  <si>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</si>
  <si>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</si>
  <si>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</si>
  <si>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</si>
  <si>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</si>
  <si>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</si>
  <si>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</si>
  <si>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</si>
  <si>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</si>
  <si>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</si>
  <si>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</si>
  <si>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</si>
  <si>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</si>
  <si>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</si>
  <si>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</si>
  <si>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</si>
  <si>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</si>
  <si>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</si>
  <si>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</si>
  <si>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</si>
  <si>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</si>
  <si>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</si>
  <si>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</si>
  <si>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</si>
  <si>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</si>
  <si>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</si>
  <si>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</si>
  <si>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</si>
  <si>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</si>
  <si>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</si>
  <si>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</si>
  <si>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</si>
  <si>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</si>
  <si>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</si>
  <si>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</si>
  <si>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</si>
  <si>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</si>
  <si>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</si>
  <si>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</si>
  <si>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</si>
  <si>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</si>
  <si>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</si>
  <si>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</si>
  <si>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</si>
  <si>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</si>
  <si>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</si>
  <si>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</si>
  <si>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</si>
  <si>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</si>
  <si>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</si>
  <si>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</si>
  <si>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</si>
  <si>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</si>
  <si>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</si>
  <si>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</si>
  <si>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</si>
  <si>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</si>
  <si>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</si>
  <si>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</si>
  <si>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</si>
  <si>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</si>
  <si>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</si>
  <si>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</si>
  <si>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</si>
  <si>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</si>
  <si>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</si>
  <si>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</si>
  <si>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</si>
  <si>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</si>
  <si>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</si>
  <si>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</si>
  <si>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</si>
  <si>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</si>
  <si>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</si>
  <si>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</si>
  <si>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</si>
  <si>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</si>
  <si>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</si>
  <si>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</si>
  <si>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</si>
  <si>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</si>
  <si>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</si>
  <si>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</si>
  <si>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</si>
  <si>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</si>
  <si>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</si>
  <si>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</si>
  <si>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</si>
  <si>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</si>
  <si>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</si>
  <si>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</si>
  <si>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</si>
  <si>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</si>
  <si>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</si>
  <si>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</si>
  <si>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</si>
  <si>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</si>
  <si>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</si>
  <si>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</si>
  <si>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</si>
  <si>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</si>
  <si>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</si>
  <si>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</si>
  <si>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</si>
  <si>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</si>
  <si>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</si>
  <si>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</si>
  <si>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</si>
  <si>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</si>
  <si>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</si>
  <si>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</si>
  <si>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</si>
  <si>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</si>
  <si>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</si>
  <si>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</si>
  <si>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</si>
  <si>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</si>
  <si>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</si>
  <si>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</si>
  <si>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</si>
  <si>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</si>
  <si>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</si>
  <si>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</si>
  <si>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</si>
  <si>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</si>
  <si>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</si>
  <si>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</si>
  <si>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</si>
  <si>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</si>
  <si>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</si>
  <si>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</si>
  <si>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</si>
  <si>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</si>
  <si>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</si>
  <si>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</si>
  <si>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</si>
  <si>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</si>
  <si>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</si>
  <si>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</si>
  <si>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</si>
  <si>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</si>
  <si>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</si>
  <si>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</si>
  <si>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</si>
  <si>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</si>
  <si>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</si>
  <si>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</si>
  <si>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</si>
  <si>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</si>
  <si>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</si>
  <si>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</si>
  <si>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</si>
  <si>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</si>
  <si>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</si>
  <si>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</si>
  <si>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</si>
  <si>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</si>
  <si>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</si>
  <si>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</si>
  <si>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</si>
  <si>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</si>
  <si>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</si>
  <si>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</si>
  <si>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</si>
  <si>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</si>
  <si>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</si>
  <si>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</si>
  <si>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</si>
  <si>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</si>
  <si>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</si>
  <si>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</si>
  <si>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</si>
  <si>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</si>
  <si>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</si>
  <si>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</si>
  <si>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</si>
  <si>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</si>
  <si>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</si>
  <si>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</si>
  <si>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</si>
  <si>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</si>
  <si>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</si>
  <si>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</si>
  <si>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</si>
  <si>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</si>
  <si>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</si>
  <si>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</si>
  <si>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</si>
  <si>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</si>
  <si>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</si>
  <si>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</si>
  <si>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</si>
  <si>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</si>
  <si>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</si>
  <si>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</si>
  <si>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</si>
  <si>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</si>
  <si>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</si>
  <si>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</si>
  <si>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</si>
  <si>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</si>
  <si>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</si>
  <si>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</si>
  <si>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</si>
  <si>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</si>
  <si>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</si>
  <si>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</si>
  <si>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</si>
  <si>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</si>
  <si>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</si>
  <si>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</si>
  <si>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</si>
  <si>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</si>
  <si>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</si>
  <si>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</si>
  <si>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</si>
  <si>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</si>
  <si>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</si>
  <si>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</si>
  <si>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</si>
  <si>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</si>
  <si>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</si>
  <si>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</si>
  <si>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</si>
  <si>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</si>
  <si>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</si>
  <si>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</si>
  <si>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</si>
  <si>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</si>
  <si>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</si>
  <si>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</si>
  <si>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</si>
  <si>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</si>
  <si>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</si>
  <si>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</si>
  <si>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</si>
  <si>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</si>
  <si>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</si>
  <si>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</si>
  <si>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</si>
  <si>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</si>
  <si>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</si>
  <si>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</si>
  <si>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</si>
  <si>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</si>
  <si>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</si>
  <si>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</si>
  <si>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</si>
  <si>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</si>
  <si>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</si>
  <si>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</si>
  <si>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</si>
  <si>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</si>
  <si>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</si>
  <si>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</si>
  <si>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</si>
  <si>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</si>
  <si>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</si>
  <si>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</si>
  <si>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</si>
  <si>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</si>
  <si>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</si>
  <si>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</si>
  <si>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</si>
  <si>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</si>
  <si>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</si>
  <si>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</si>
  <si>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</si>
  <si>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</si>
  <si>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</si>
  <si>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</si>
  <si>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</si>
  <si>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</si>
  <si>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</si>
  <si>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</si>
  <si>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</si>
  <si>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</si>
  <si>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</si>
  <si>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</si>
  <si>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</si>
  <si>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</si>
  <si>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</si>
  <si>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</si>
  <si>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</si>
  <si>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</si>
  <si>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</si>
  <si>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</si>
  <si>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</si>
  <si>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</si>
  <si>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</si>
  <si>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</si>
  <si>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</si>
  <si>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</si>
  <si>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</si>
  <si>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</si>
  <si>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</si>
  <si>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</si>
  <si>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</si>
  <si>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</si>
  <si>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</si>
  <si>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</si>
  <si>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</si>
  <si>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</si>
  <si>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</si>
  <si>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</si>
  <si>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</si>
  <si>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</si>
  <si>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</si>
  <si>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</si>
  <si>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</si>
  <si>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</si>
  <si>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</si>
  <si>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</si>
  <si>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</si>
  <si>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</si>
  <si>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</si>
  <si>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</si>
  <si>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</si>
  <si>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</si>
  <si>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</si>
  <si>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</si>
  <si>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</si>
  <si>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</si>
  <si>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</si>
  <si>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</si>
  <si>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</si>
  <si>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</si>
  <si>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</si>
  <si>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</si>
  <si>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</si>
  <si>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</si>
  <si>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</si>
  <si>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</si>
  <si>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</si>
  <si>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</si>
  <si>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</si>
  <si>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</si>
  <si>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</si>
  <si>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</si>
  <si>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</si>
  <si>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</si>
  <si>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</si>
  <si>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</si>
  <si>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</si>
  <si>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</si>
  <si>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</si>
  <si>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</si>
  <si>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</si>
  <si>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</si>
  <si>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</si>
  <si>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</si>
  <si>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</si>
  <si>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</si>
  <si>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</si>
  <si>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</si>
  <si>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</si>
  <si>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</si>
  <si>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</si>
  <si>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</si>
  <si>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</si>
  <si>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</si>
  <si>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</si>
  <si>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</si>
  <si>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</si>
  <si>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</si>
  <si>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</si>
  <si>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</si>
  <si>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</si>
  <si>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</si>
  <si>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</si>
  <si>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</si>
  <si>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</si>
  <si>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</si>
  <si>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</si>
  <si>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</si>
  <si>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</si>
  <si>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</si>
  <si>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</si>
  <si>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</si>
  <si>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</si>
  <si>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</si>
  <si>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</si>
  <si>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</si>
  <si>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</si>
  <si>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</si>
  <si>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</si>
  <si>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</si>
  <si>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</si>
  <si>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</si>
  <si>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</si>
  <si>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</si>
  <si>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</si>
  <si>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</si>
  <si>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</si>
  <si>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</si>
  <si>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</si>
  <si>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</si>
  <si>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</si>
  <si>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</si>
  <si>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</si>
  <si>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</si>
  <si>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</si>
  <si>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</si>
  <si>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</si>
  <si>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</si>
  <si>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</si>
  <si>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</si>
  <si>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</si>
  <si>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</si>
  <si>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</si>
  <si>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</si>
  <si>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</si>
  <si>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</si>
  <si>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</si>
  <si>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</si>
  <si>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</si>
  <si>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</si>
  <si>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</si>
  <si>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</si>
  <si>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</si>
  <si>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</si>
  <si>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</si>
  <si>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</si>
  <si>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</si>
  <si>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</si>
  <si>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</si>
  <si>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</si>
  <si>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</si>
  <si>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</si>
  <si>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</si>
  <si>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</si>
  <si>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</si>
  <si>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</si>
  <si>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</si>
  <si>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</si>
  <si>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</si>
  <si>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</si>
  <si>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</si>
  <si>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</si>
  <si>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</si>
  <si>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</si>
  <si>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</si>
  <si>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</si>
  <si>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</si>
  <si>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</si>
  <si>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</si>
  <si>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</si>
  <si>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</si>
  <si>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</si>
  <si>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</si>
  <si>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</si>
  <si>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</si>
  <si>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</si>
  <si>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</si>
  <si>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</si>
  <si>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</si>
  <si>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</si>
  <si>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</si>
  <si>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</si>
  <si>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</si>
  <si>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</si>
  <si>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</si>
  <si>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</si>
  <si>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</si>
  <si>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</si>
  <si>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</si>
  <si>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</si>
  <si>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</si>
  <si>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</si>
  <si>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</si>
  <si>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</si>
  <si>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</si>
  <si>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</si>
  <si>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</si>
  <si>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</si>
  <si>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</si>
  <si>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</si>
  <si>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</si>
  <si>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</si>
  <si>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</si>
  <si>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</si>
  <si>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</si>
  <si>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</si>
  <si>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</si>
  <si>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</si>
  <si>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</si>
  <si>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</si>
  <si>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</si>
  <si>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</si>
  <si>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</si>
  <si>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</si>
  <si>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</si>
  <si>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</si>
  <si>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</si>
  <si>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</si>
  <si>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</si>
  <si>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</si>
  <si>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</si>
  <si>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</si>
  <si>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</si>
  <si>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</si>
  <si>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</si>
  <si>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</si>
  <si>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</si>
  <si>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</si>
  <si>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</si>
  <si>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</si>
  <si>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</si>
  <si>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</si>
  <si>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</si>
  <si>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</si>
  <si>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</si>
  <si>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</si>
  <si>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</si>
  <si>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</si>
  <si>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</si>
  <si>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</si>
  <si>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</si>
  <si>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</si>
  <si>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</si>
  <si>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</si>
  <si>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</si>
  <si>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</si>
  <si>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</si>
  <si>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</si>
  <si>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</si>
  <si>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</si>
  <si>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</si>
  <si>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</si>
  <si>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</si>
  <si>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</si>
  <si>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</si>
  <si>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</si>
  <si>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</si>
  <si>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</si>
  <si>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</si>
  <si>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</si>
  <si>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</si>
  <si>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</si>
  <si>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</si>
  <si>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</si>
  <si>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</si>
  <si>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</si>
  <si>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</si>
  <si>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</si>
  <si>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</si>
  <si>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</si>
  <si>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</si>
  <si>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</si>
  <si>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</si>
  <si>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</si>
  <si>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</si>
  <si>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</si>
  <si>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</si>
  <si>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</si>
  <si>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</si>
  <si>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</si>
  <si>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</si>
  <si>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</si>
  <si>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</si>
  <si>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</si>
  <si>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</si>
  <si>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</si>
  <si>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</si>
  <si>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</si>
  <si>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</si>
  <si>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</si>
  <si>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</si>
  <si>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</si>
  <si>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</si>
  <si>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</si>
  <si>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</si>
  <si>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</si>
  <si>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</si>
  <si>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</si>
  <si>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</si>
  <si>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</si>
  <si>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</si>
  <si>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</si>
  <si>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</si>
  <si>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</si>
  <si>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</si>
  <si>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</si>
  <si>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</si>
  <si>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</si>
  <si>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</si>
  <si>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</si>
  <si>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</si>
  <si>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</si>
  <si>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</si>
  <si>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</si>
  <si>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</si>
  <si>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</si>
  <si>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</si>
  <si>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</si>
  <si>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</si>
  <si>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</si>
  <si>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</si>
  <si>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</si>
  <si>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</si>
  <si>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</si>
  <si>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</si>
  <si>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</si>
  <si>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</si>
  <si>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</si>
  <si>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</si>
  <si>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</si>
  <si>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</si>
  <si>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</si>
  <si>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</si>
  <si>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</si>
  <si>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</si>
  <si>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</si>
  <si>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</si>
  <si>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</si>
  <si>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</si>
  <si>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</si>
  <si>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</si>
  <si>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</si>
  <si>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</si>
  <si>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</si>
  <si>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</si>
  <si>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</si>
  <si>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</si>
  <si>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</si>
  <si>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</si>
  <si>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</si>
  <si>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</si>
  <si>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</si>
  <si>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</si>
  <si>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</si>
  <si>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</si>
  <si>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</si>
  <si>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</si>
  <si>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</si>
  <si>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</si>
  <si>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</si>
  <si>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</si>
  <si>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</si>
  <si>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</si>
  <si>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</si>
  <si>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</si>
  <si>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</si>
  <si>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</si>
  <si>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</si>
  <si>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</si>
  <si>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</si>
  <si>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</si>
  <si>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</si>
  <si>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</si>
  <si>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</si>
  <si>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</si>
  <si>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</si>
  <si>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</si>
  <si>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</si>
  <si>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</si>
  <si>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</si>
  <si>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</si>
  <si>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</si>
  <si>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</si>
  <si>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</si>
  <si>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</si>
  <si>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</si>
  <si>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</si>
  <si>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</si>
  <si>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</si>
  <si>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</si>
  <si>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</si>
  <si>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</si>
  <si>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</si>
  <si>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</si>
  <si>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</si>
  <si>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</si>
  <si>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</si>
  <si>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</si>
  <si>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</si>
  <si>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</si>
  <si>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</si>
  <si>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</si>
  <si>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</si>
  <si>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</si>
  <si>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</si>
  <si>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</si>
  <si>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</si>
  <si>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</si>
  <si>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</si>
  <si>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</si>
  <si>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</si>
  <si>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</si>
  <si>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</si>
  <si>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</si>
  <si>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</si>
  <si>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</si>
  <si>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</si>
  <si>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</si>
  <si>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</si>
  <si>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</si>
  <si>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</si>
  <si>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</si>
  <si>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</si>
  <si>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</si>
  <si>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</si>
  <si>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</si>
  <si>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</si>
  <si>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</si>
  <si>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</si>
  <si>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</si>
  <si>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</si>
  <si>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</si>
  <si>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</si>
  <si>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</si>
  <si>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</si>
  <si>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</si>
  <si>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</si>
  <si>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</si>
  <si>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</si>
  <si>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</si>
  <si>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</si>
  <si>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</si>
  <si>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</si>
  <si>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</si>
  <si>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</si>
  <si>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</si>
  <si>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</si>
  <si>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</si>
  <si>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</si>
  <si>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</si>
  <si>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</si>
  <si>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</si>
  <si>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</si>
  <si>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</si>
  <si>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</si>
  <si>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</si>
  <si>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</si>
  <si>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</si>
  <si>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</si>
  <si>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</si>
  <si>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</si>
  <si>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</si>
  <si>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</si>
  <si>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</si>
  <si>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</si>
  <si>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</si>
  <si>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</si>
  <si>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</si>
  <si>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</si>
  <si>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</si>
  <si>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</si>
  <si>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</si>
  <si>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</si>
  <si>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</si>
  <si>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</si>
  <si>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</si>
  <si>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</si>
  <si>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</si>
  <si>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</si>
  <si>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</si>
  <si>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</si>
  <si>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</si>
  <si>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</si>
  <si>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</si>
  <si>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</si>
  <si>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</si>
  <si>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</si>
  <si>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</si>
  <si>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</si>
  <si>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</si>
  <si>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</si>
  <si>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</si>
  <si>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</si>
  <si>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</si>
  <si>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</si>
  <si>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</si>
  <si>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</si>
  <si>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</si>
  <si>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</si>
  <si>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</si>
  <si>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</si>
  <si>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</si>
  <si>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</si>
  <si>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</si>
  <si>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</si>
  <si>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</si>
  <si>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</si>
  <si>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</si>
  <si>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</si>
  <si>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</si>
  <si>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</si>
  <si>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</si>
  <si>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</si>
  <si>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</si>
  <si>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</si>
  <si>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</si>
  <si>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</si>
  <si>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</si>
  <si>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</si>
  <si>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</si>
  <si>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</si>
  <si>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</si>
  <si>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</si>
  <si>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</si>
  <si>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</si>
  <si>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</si>
  <si>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</si>
  <si>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</si>
  <si>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</si>
  <si>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</si>
  <si>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</si>
  <si>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</si>
  <si>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</si>
  <si>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</si>
  <si>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</si>
  <si>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</si>
  <si>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</si>
  <si>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</si>
  <si>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</si>
  <si>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</si>
  <si>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</si>
  <si>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</si>
  <si>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</si>
  <si>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</si>
  <si>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</si>
  <si>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</si>
  <si>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</si>
  <si>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</si>
  <si>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</si>
  <si>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</si>
  <si>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</si>
  <si>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</si>
  <si>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</si>
  <si>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</si>
  <si>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</si>
  <si>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</si>
  <si>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</si>
  <si>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</si>
  <si>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</si>
  <si>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</si>
  <si>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</si>
  <si>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</si>
  <si>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</si>
  <si>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</si>
  <si>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</si>
  <si>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</si>
  <si>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</si>
  <si>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</si>
  <si>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</si>
  <si>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</si>
  <si>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</si>
  <si>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</si>
  <si>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</si>
  <si>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</si>
  <si>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</si>
  <si>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</si>
  <si>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</si>
  <si>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</si>
  <si>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</si>
  <si>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</si>
  <si>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</si>
  <si>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</si>
  <si>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</si>
  <si>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</si>
  <si>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</si>
  <si>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</si>
  <si>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</si>
  <si>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</si>
  <si>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</si>
  <si>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</si>
  <si>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</si>
  <si>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</si>
  <si>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</si>
  <si>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</si>
  <si>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</si>
  <si>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</si>
  <si>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</si>
  <si>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</si>
  <si>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</si>
  <si>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</si>
  <si>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</si>
  <si>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</si>
  <si>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</si>
  <si>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</si>
  <si>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</si>
  <si>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</si>
  <si>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</si>
  <si>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</si>
  <si>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</si>
  <si>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</si>
  <si>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</si>
  <si>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</si>
  <si>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</si>
  <si>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</si>
  <si>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</si>
  <si>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</si>
  <si>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</si>
  <si>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</si>
  <si>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</si>
  <si>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</si>
  <si>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</si>
  <si>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</si>
  <si>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</si>
  <si>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</si>
  <si>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</si>
  <si>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</si>
  <si>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</si>
  <si>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</si>
  <si>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</si>
  <si>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</si>
  <si>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</si>
  <si>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</si>
  <si>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</si>
  <si>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</si>
  <si>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</si>
  <si>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</si>
  <si>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</si>
  <si>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</si>
  <si>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</si>
  <si>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</si>
  <si>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</si>
  <si>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</si>
  <si>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</si>
  <si>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</si>
  <si>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</si>
  <si>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</si>
  <si>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</si>
  <si>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</si>
  <si>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</si>
  <si>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</si>
  <si>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</si>
  <si>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</si>
  <si>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</si>
  <si>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</si>
  <si>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</si>
  <si>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</si>
  <si>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</si>
  <si>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</si>
  <si>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</si>
  <si>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</si>
  <si>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</si>
  <si>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</si>
  <si>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</si>
  <si>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</si>
  <si>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</si>
  <si>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</si>
  <si>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</si>
  <si>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</si>
  <si>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</si>
  <si>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</si>
  <si>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</si>
  <si>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</si>
  <si>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</si>
  <si>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</si>
  <si>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</si>
  <si>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</si>
  <si>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</si>
  <si>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</si>
  <si>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</si>
  <si>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</si>
  <si>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</si>
  <si>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</si>
  <si>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</si>
  <si>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</si>
  <si>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</si>
  <si>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</si>
  <si>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</si>
  <si>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</si>
  <si>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</si>
  <si>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</si>
  <si>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</si>
  <si>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</si>
  <si>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</si>
  <si>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</si>
  <si>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</si>
  <si>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</si>
  <si>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</si>
  <si>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</si>
  <si>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</si>
  <si>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</si>
  <si>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</si>
  <si>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</si>
  <si>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</si>
  <si>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</si>
  <si>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</si>
  <si>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</si>
  <si>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</si>
  <si>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</si>
  <si>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</si>
  <si>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</si>
  <si>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</si>
  <si>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</si>
  <si>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</si>
  <si>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</si>
  <si>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</si>
  <si>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</si>
  <si>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</si>
  <si>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</si>
  <si>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</si>
  <si>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</si>
  <si>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</si>
  <si>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</si>
  <si>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</si>
  <si>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</si>
  <si>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</si>
  <si>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</si>
  <si>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</si>
  <si>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</si>
  <si>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</si>
  <si>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</si>
  <si>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</si>
  <si>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</si>
  <si>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</si>
  <si>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</si>
  <si>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</si>
  <si>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</si>
  <si>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</si>
  <si>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</si>
  <si>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</si>
  <si>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</si>
  <si>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</si>
  <si>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</si>
  <si>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</si>
  <si>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</si>
  <si>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</si>
  <si>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</si>
  <si>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</si>
  <si>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</si>
  <si>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</si>
  <si>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</si>
  <si>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</si>
  <si>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</si>
  <si>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</si>
  <si>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</si>
  <si>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</si>
  <si>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</si>
  <si>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</si>
  <si>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</si>
  <si>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</si>
  <si>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</si>
  <si>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</si>
  <si>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</si>
  <si>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</si>
  <si>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</si>
  <si>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</si>
  <si>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</si>
  <si>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</si>
  <si>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</si>
  <si>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</si>
  <si>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</si>
  <si>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</si>
  <si>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</si>
  <si>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</si>
  <si>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</si>
  <si>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</si>
  <si>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</si>
  <si>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</si>
  <si>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</si>
  <si>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</si>
  <si>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</si>
  <si>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</si>
  <si>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</si>
  <si>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</si>
  <si>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</si>
  <si>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</si>
  <si>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</si>
  <si>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</si>
  <si>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</si>
  <si>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</si>
  <si>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</si>
  <si>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</si>
  <si>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</si>
  <si>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</si>
  <si>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</si>
  <si>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</si>
  <si>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</si>
  <si>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</si>
  <si>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</si>
  <si>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</si>
  <si>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</si>
  <si>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</si>
  <si>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</si>
  <si>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</si>
  <si>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</si>
  <si>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</si>
  <si>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</si>
  <si>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</si>
  <si>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</si>
  <si>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</si>
  <si>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</si>
  <si>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</si>
  <si>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</si>
  <si>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</si>
  <si>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</si>
  <si>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</si>
  <si>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</si>
  <si>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</si>
  <si>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</si>
  <si>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</si>
  <si>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</si>
  <si>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</si>
  <si>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</si>
  <si>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</si>
  <si>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</si>
  <si>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</si>
  <si>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</si>
  <si>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</si>
  <si>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</si>
  <si>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</si>
  <si>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</si>
  <si>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</si>
  <si>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</si>
  <si>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</si>
  <si>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</si>
  <si>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</si>
  <si>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</si>
  <si>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</si>
  <si>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</si>
  <si>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</si>
  <si>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</si>
  <si>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</si>
  <si>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</si>
  <si>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</si>
  <si>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</si>
  <si>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</si>
  <si>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</si>
  <si>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</si>
  <si>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</si>
  <si>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</si>
  <si>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</si>
  <si>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</si>
  <si>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</si>
  <si>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</si>
  <si>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</si>
  <si>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</si>
  <si>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</si>
  <si>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</si>
  <si>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</si>
  <si>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</si>
  <si>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</si>
  <si>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</si>
  <si>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</si>
  <si>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</si>
  <si>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</si>
  <si>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</si>
  <si>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</si>
  <si>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</si>
  <si>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</si>
  <si>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</si>
  <si>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</si>
  <si>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</si>
  <si>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</si>
  <si>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</si>
  <si>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</si>
  <si>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</si>
  <si>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</si>
  <si>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</si>
  <si>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</si>
  <si>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</si>
  <si>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</si>
  <si>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</si>
  <si>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</si>
  <si>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</si>
  <si>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</si>
  <si>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</si>
  <si>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</si>
  <si>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</si>
  <si>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</si>
  <si>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</si>
  <si>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</si>
  <si>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</si>
  <si>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</si>
  <si>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</si>
  <si>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</si>
  <si>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</si>
  <si>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</si>
  <si>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</si>
  <si>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</si>
  <si>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</si>
  <si>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</si>
  <si>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</si>
  <si>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</si>
  <si>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</si>
  <si>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</si>
  <si>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</si>
  <si>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</si>
  <si>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</si>
  <si>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</si>
  <si>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</si>
  <si>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</si>
  <si>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</si>
  <si>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</si>
  <si>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</si>
  <si>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</si>
  <si>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</si>
  <si>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</si>
  <si>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</si>
  <si>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</si>
  <si>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</si>
  <si>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</si>
  <si>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</si>
  <si>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</si>
  <si>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</si>
  <si>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</si>
  <si>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</si>
  <si>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</si>
  <si>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</si>
  <si>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</si>
  <si>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</si>
  <si>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</si>
  <si>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</si>
  <si>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</si>
  <si>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</si>
  <si>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</si>
  <si>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</si>
  <si>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</si>
  <si>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</si>
  <si>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</si>
  <si>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</si>
  <si>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</si>
  <si>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</si>
  <si>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</si>
  <si>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</si>
  <si>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</si>
  <si>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</si>
  <si>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</si>
  <si>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</si>
  <si>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</si>
  <si>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</si>
  <si>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</si>
  <si>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</si>
  <si>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</si>
  <si>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</si>
  <si>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</si>
  <si>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</si>
  <si>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</si>
  <si>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</si>
  <si>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</si>
  <si>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</si>
  <si>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</si>
  <si>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</si>
  <si>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</si>
  <si>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</si>
  <si>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</si>
  <si>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</si>
  <si>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</si>
  <si>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</si>
  <si>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</si>
  <si>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</si>
  <si>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</si>
  <si>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</si>
  <si>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</si>
  <si>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</si>
  <si>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</si>
  <si>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</si>
  <si>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</si>
  <si>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</si>
  <si>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</si>
  <si>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</si>
  <si>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</si>
  <si>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</si>
  <si>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</si>
  <si>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</si>
  <si>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</si>
  <si>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</si>
  <si>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</si>
  <si>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</si>
  <si>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</si>
  <si>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</si>
  <si>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</si>
  <si>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</si>
  <si>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</si>
  <si>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</si>
  <si>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</si>
  <si>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</si>
  <si>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</si>
  <si>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</si>
  <si>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</si>
  <si>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</si>
  <si>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</si>
  <si>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</si>
  <si>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</si>
  <si>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</si>
  <si>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</si>
  <si>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</si>
  <si>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</si>
  <si>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</si>
  <si>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</si>
  <si>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</si>
  <si>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</si>
  <si>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</si>
  <si>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</si>
  <si>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</si>
  <si>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</si>
  <si>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</si>
  <si>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</si>
  <si>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</si>
  <si>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</si>
  <si>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</si>
  <si>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</si>
  <si>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</si>
  <si>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</si>
  <si>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</si>
  <si>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</si>
  <si>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</si>
  <si>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</si>
  <si>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</si>
  <si>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</si>
  <si>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</si>
  <si>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</si>
  <si>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</si>
  <si>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</si>
  <si>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</si>
  <si>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</si>
  <si>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</si>
  <si>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</si>
  <si>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</si>
  <si>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</si>
  <si>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</si>
  <si>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</si>
  <si>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</si>
  <si>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</si>
  <si>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</si>
  <si>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</si>
  <si>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</si>
  <si>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</si>
  <si>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</si>
  <si>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</si>
  <si>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</si>
  <si>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</si>
  <si>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</si>
  <si>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</si>
  <si>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</si>
  <si>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</si>
  <si>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</si>
  <si>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</si>
  <si>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</si>
  <si>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</si>
  <si>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</si>
  <si>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</si>
  <si>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</si>
  <si>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</si>
  <si>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</si>
  <si>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</si>
  <si>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</si>
  <si>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</si>
  <si>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</si>
  <si>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</si>
  <si>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</si>
  <si>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</si>
  <si>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</si>
  <si>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</si>
  <si>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</si>
  <si>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</si>
  <si>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</si>
  <si>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</si>
  <si>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</si>
  <si>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</si>
  <si>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</si>
  <si>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</si>
  <si>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</si>
  <si>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</si>
  <si>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</si>
  <si>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</si>
  <si>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</si>
  <si>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</si>
  <si>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</si>
  <si>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</si>
  <si>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</si>
  <si>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</si>
  <si>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</si>
  <si>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</si>
  <si>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</si>
  <si>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</si>
  <si>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</si>
  <si>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</si>
  <si>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</si>
  <si>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</si>
  <si>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</si>
  <si>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</si>
  <si>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</si>
  <si>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</si>
  <si>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</si>
  <si>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</si>
  <si>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</si>
  <si>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</si>
  <si>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</si>
  <si>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</si>
  <si>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</si>
  <si>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</si>
  <si>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</si>
  <si>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</si>
  <si>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</si>
  <si>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</si>
  <si>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</si>
  <si>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</si>
  <si>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</si>
  <si>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</si>
  <si>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</si>
  <si>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</si>
  <si>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</si>
  <si>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</si>
  <si>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</si>
  <si>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</si>
  <si>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</si>
  <si>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</si>
  <si>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</si>
  <si>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</si>
  <si>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</si>
  <si>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</si>
  <si>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</si>
  <si>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</si>
  <si>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</si>
  <si>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</si>
  <si>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</si>
  <si>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</si>
  <si>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</si>
  <si>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</si>
  <si>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</si>
  <si>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</si>
  <si>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</si>
  <si>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</si>
  <si>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</si>
  <si>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</si>
  <si>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</si>
  <si>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</si>
  <si>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</si>
  <si>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</si>
  <si>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</si>
  <si>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</si>
  <si>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</si>
  <si>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</si>
  <si>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</si>
  <si>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</si>
  <si>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</si>
  <si>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</si>
  <si>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</si>
  <si>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</si>
  <si>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</si>
  <si>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</si>
  <si>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</si>
  <si>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</si>
  <si>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</si>
  <si>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</si>
  <si>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</si>
  <si>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</si>
  <si>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</si>
  <si>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</si>
  <si>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</si>
  <si>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</si>
  <si>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</si>
  <si>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</si>
  <si>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</si>
  <si>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</si>
  <si>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</si>
  <si>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</si>
  <si>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</si>
  <si>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</si>
  <si>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</si>
  <si>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</si>
  <si>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</si>
  <si>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</si>
  <si>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</si>
  <si>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</si>
  <si>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</si>
  <si>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</si>
  <si>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</si>
  <si>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</si>
  <si>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</si>
  <si>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</si>
  <si>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</si>
  <si>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</si>
  <si>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</si>
  <si>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</si>
  <si>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</si>
  <si>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</si>
  <si>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</si>
  <si>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</si>
  <si>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</si>
  <si>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</si>
  <si>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</si>
  <si>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</si>
  <si>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</si>
  <si>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</si>
  <si>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</si>
  <si>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</si>
  <si>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</si>
  <si>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</si>
  <si>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</si>
  <si>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</si>
  <si>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</si>
  <si>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</si>
  <si>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</si>
  <si>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</si>
  <si>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</si>
  <si>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</si>
  <si>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</si>
  <si>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</si>
  <si>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</si>
  <si>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</si>
  <si>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</si>
  <si>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</si>
  <si>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</si>
  <si>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</si>
  <si>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</si>
  <si>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</si>
  <si>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</si>
  <si>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</si>
  <si>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</si>
  <si>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</si>
  <si>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</si>
  <si>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</si>
  <si>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</si>
  <si>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</si>
  <si>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</si>
  <si>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</si>
  <si>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</si>
  <si>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</si>
  <si>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</si>
  <si>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</si>
  <si>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</si>
  <si>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</si>
  <si>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</si>
  <si>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</si>
  <si>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</si>
  <si>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</si>
  <si>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</si>
  <si>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</si>
  <si>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</si>
  <si>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</si>
  <si>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</si>
  <si>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</si>
  <si>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</si>
  <si>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</si>
  <si>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</si>
  <si>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</si>
  <si>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</si>
  <si>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</si>
  <si>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</si>
  <si>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</si>
  <si>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</si>
  <si>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</si>
  <si>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</si>
  <si>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</si>
  <si>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</si>
  <si>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</si>
  <si>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</si>
  <si>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</si>
  <si>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</si>
  <si>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</si>
  <si>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</si>
  <si>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</si>
  <si>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</si>
  <si>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</si>
  <si>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</si>
  <si>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</si>
  <si>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</si>
  <si>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</si>
  <si>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</si>
  <si>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</si>
  <si>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</si>
  <si>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</si>
  <si>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</si>
  <si>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</si>
  <si>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</si>
  <si>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</si>
  <si>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</si>
  <si>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</si>
  <si>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</si>
  <si>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</si>
  <si>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</si>
  <si>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</si>
  <si>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</si>
  <si>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</si>
  <si>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</si>
  <si>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</si>
  <si>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</si>
  <si>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</si>
  <si>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</si>
  <si>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</si>
  <si>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</si>
  <si>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</si>
  <si>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</si>
  <si>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</si>
  <si>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</si>
  <si>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</si>
  <si>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</si>
  <si>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</si>
  <si>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</si>
  <si>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</si>
  <si>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</si>
  <si>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</si>
  <si>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</si>
  <si>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</si>
  <si>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</si>
  <si>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</si>
  <si>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</si>
  <si>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</si>
  <si>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</si>
  <si>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</si>
  <si>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</si>
  <si>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</si>
  <si>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</si>
  <si>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</si>
  <si>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</si>
  <si>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</si>
  <si>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</si>
  <si>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</si>
  <si>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</si>
  <si>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</si>
  <si>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</si>
  <si>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</si>
  <si>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</si>
  <si>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</si>
  <si>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</si>
  <si>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</si>
  <si>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</si>
  <si>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</si>
  <si>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</si>
  <si>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</si>
  <si>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</si>
  <si>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</si>
  <si>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</si>
  <si>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</si>
  <si>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</si>
  <si>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</si>
  <si>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</si>
  <si>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</si>
  <si>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</si>
  <si>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</si>
  <si>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</si>
  <si>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</si>
  <si>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</si>
  <si>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</si>
  <si>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</si>
  <si>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</si>
  <si>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</si>
  <si>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</si>
  <si>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</si>
  <si>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</si>
  <si>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</si>
  <si>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</si>
  <si>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</si>
  <si>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</si>
  <si>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</si>
  <si>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</si>
  <si>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</si>
  <si>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</si>
  <si>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</si>
  <si>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</si>
  <si>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</si>
  <si>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</si>
  <si>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</si>
  <si>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</si>
  <si>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</si>
  <si>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</si>
  <si>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</si>
  <si>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</si>
  <si>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</si>
  <si>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</si>
  <si>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</si>
  <si>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</si>
  <si>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</si>
  <si>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</si>
  <si>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</si>
  <si>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</si>
  <si>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</si>
  <si>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</si>
  <si>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</si>
  <si>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</si>
  <si>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</si>
  <si>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</si>
  <si>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</si>
  <si>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</si>
  <si>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</si>
  <si>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</si>
  <si>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</si>
  <si>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</si>
  <si>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</si>
  <si>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</si>
  <si>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</si>
  <si>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</si>
  <si>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</si>
  <si>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</si>
  <si>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</si>
  <si>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</si>
  <si>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</si>
  <si>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</si>
  <si>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</si>
  <si>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</si>
  <si>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</si>
  <si>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</si>
  <si>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</si>
  <si>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</si>
  <si>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</si>
  <si>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</si>
  <si>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</si>
  <si>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</si>
  <si>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</si>
  <si>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</si>
  <si>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</si>
  <si>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</si>
  <si>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</si>
  <si>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</si>
  <si>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</si>
  <si>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</si>
  <si>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</si>
  <si>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</si>
  <si>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</si>
  <si>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</si>
  <si>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</si>
  <si>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</si>
  <si>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</si>
  <si>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</si>
  <si>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</si>
  <si>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</si>
  <si>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</si>
  <si>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</si>
  <si>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</si>
  <si>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</si>
  <si>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</si>
  <si>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</si>
  <si>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</si>
  <si>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</si>
  <si>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</si>
  <si>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</si>
  <si>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</si>
  <si>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</si>
  <si>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</si>
  <si>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</si>
  <si>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</si>
  <si>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</si>
  <si>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</si>
  <si>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</si>
  <si>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</si>
  <si>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</si>
  <si>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</si>
  <si>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</si>
  <si>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</si>
  <si>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</si>
  <si>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</si>
  <si>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</si>
  <si>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</si>
  <si>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</si>
  <si>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</si>
  <si>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</si>
  <si>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</si>
  <si>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</si>
  <si>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</si>
  <si>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</si>
  <si>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</si>
  <si>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</si>
  <si>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</si>
  <si>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</si>
  <si>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</si>
  <si>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</si>
  <si>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</si>
  <si>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</si>
  <si>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</si>
  <si>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</si>
  <si>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</si>
  <si>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</si>
  <si>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</si>
  <si>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</si>
  <si>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</si>
  <si>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</si>
  <si>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</si>
  <si>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</si>
  <si>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</si>
  <si>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</si>
  <si>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</si>
  <si>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</si>
  <si>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</si>
  <si>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</si>
  <si>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</si>
  <si>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</si>
  <si>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</si>
  <si>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</si>
  <si>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</si>
  <si>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</si>
  <si>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</si>
  <si>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</si>
  <si>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</si>
  <si>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</si>
  <si>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</si>
  <si>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</si>
  <si>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</si>
  <si>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</si>
  <si>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</si>
  <si>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</si>
  <si>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</si>
  <si>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</si>
  <si>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</si>
  <si>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</si>
  <si>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</si>
  <si>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</si>
  <si>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</si>
  <si>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</si>
  <si>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</si>
  <si>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</si>
  <si>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</si>
  <si>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</si>
  <si>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</si>
  <si>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</si>
  <si>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</si>
  <si>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</si>
  <si>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</si>
  <si>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</si>
  <si>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</si>
  <si>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</si>
  <si>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</si>
  <si>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</si>
  <si>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</si>
  <si>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</si>
  <si>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</si>
  <si>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</si>
  <si>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</si>
  <si>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</si>
  <si>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</si>
  <si>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</si>
  <si>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</si>
  <si>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</si>
  <si>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</si>
  <si>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</si>
  <si>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</si>
  <si>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</si>
  <si>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</si>
  <si>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</si>
  <si>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</si>
  <si>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</si>
  <si>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</si>
  <si>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</si>
  <si>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</si>
  <si>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</si>
  <si>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</si>
  <si>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</si>
  <si>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</si>
  <si>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</si>
  <si>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</si>
  <si>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</si>
  <si>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</si>
  <si>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</si>
  <si>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</si>
  <si>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</si>
  <si>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</si>
  <si>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</si>
  <si>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</si>
  <si>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</si>
  <si>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</si>
  <si>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</si>
  <si>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</si>
  <si>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</si>
  <si>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</si>
  <si>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</si>
  <si>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</si>
  <si>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</si>
  <si>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</si>
  <si>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</si>
  <si>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</si>
  <si>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</si>
  <si>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</si>
  <si>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</si>
  <si>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</si>
  <si>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</si>
  <si>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</si>
  <si>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</si>
  <si>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</si>
  <si>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</si>
  <si>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</si>
  <si>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</si>
  <si>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</si>
  <si>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</si>
  <si>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</si>
  <si>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</si>
  <si>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</si>
  <si>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</si>
  <si>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</si>
  <si>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</si>
  <si>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</si>
  <si>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</si>
  <si>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</si>
  <si>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</si>
  <si>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</si>
  <si>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</si>
  <si>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</si>
  <si>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</si>
  <si>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</si>
  <si>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</si>
  <si>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</si>
  <si>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</si>
  <si>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</si>
  <si>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</si>
  <si>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</si>
  <si>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</si>
  <si>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</si>
  <si>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</si>
  <si>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</si>
  <si>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</si>
  <si>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</si>
  <si>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</si>
  <si>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</si>
  <si>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</si>
  <si>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</si>
  <si>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</si>
  <si>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</si>
  <si>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</si>
  <si>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</si>
  <si>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</si>
  <si>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</si>
  <si>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</si>
  <si>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</si>
  <si>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</si>
  <si>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</si>
  <si>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</si>
  <si>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</si>
  <si>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</si>
  <si>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</si>
  <si>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</si>
  <si>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</si>
  <si>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</si>
  <si>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</si>
  <si>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</si>
  <si>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</si>
  <si>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</si>
  <si>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</si>
  <si>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</si>
  <si>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</si>
  <si>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</si>
  <si>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</si>
  <si>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</si>
  <si>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</si>
  <si>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</si>
  <si>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</si>
  <si>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</si>
  <si>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</si>
  <si>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</si>
  <si>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</si>
  <si>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</si>
  <si>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</si>
  <si>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</si>
  <si>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</si>
  <si>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</si>
  <si>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</si>
  <si>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</si>
  <si>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</si>
  <si>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</si>
  <si>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</si>
  <si>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</si>
  <si>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</si>
  <si>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</si>
  <si>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</si>
  <si>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</si>
  <si>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</si>
  <si>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</si>
  <si>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</si>
  <si>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</si>
  <si>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</si>
  <si>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</si>
  <si>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</si>
  <si>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</si>
  <si>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</si>
  <si>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</si>
  <si>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</si>
  <si>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</si>
  <si>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</si>
  <si>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</si>
  <si>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</si>
  <si>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</si>
  <si>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</si>
  <si>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</si>
  <si>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</si>
  <si>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</si>
  <si>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</si>
  <si>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</si>
  <si>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</si>
  <si>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</si>
  <si>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</si>
  <si>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</si>
  <si>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</si>
  <si>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</si>
  <si>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</si>
  <si>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</si>
  <si>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</si>
  <si>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</si>
  <si>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</si>
  <si>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</si>
  <si>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</si>
  <si>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</si>
  <si>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</si>
  <si>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</si>
  <si>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</si>
  <si>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</si>
  <si>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</si>
  <si>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</si>
  <si>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</si>
  <si>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</si>
  <si>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</si>
  <si>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</si>
  <si>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</si>
  <si>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</si>
  <si>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</si>
  <si>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</si>
  <si>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</si>
  <si>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</si>
  <si>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</si>
  <si>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</si>
  <si>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</si>
  <si>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</si>
  <si>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</si>
  <si>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</si>
  <si>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</si>
  <si>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</si>
  <si>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</si>
  <si>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</si>
  <si>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</si>
  <si>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</si>
  <si>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</si>
  <si>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</si>
  <si>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</si>
  <si>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</si>
  <si>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</si>
  <si>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</si>
  <si>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</si>
  <si>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</si>
  <si>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</si>
  <si>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</si>
  <si>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</si>
  <si>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</si>
  <si>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</si>
  <si>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</si>
  <si>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</si>
  <si>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</si>
  <si>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</si>
  <si>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</si>
  <si>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</si>
  <si>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</si>
  <si>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</si>
  <si>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</si>
  <si>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</si>
  <si>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</si>
  <si>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</si>
  <si>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</si>
  <si>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</si>
  <si>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</si>
  <si>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</si>
  <si>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</si>
  <si>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</si>
  <si>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</si>
  <si>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</si>
  <si>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</si>
  <si>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</si>
  <si>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</si>
  <si>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</si>
  <si>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</si>
  <si>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</si>
  <si>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</si>
  <si>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</si>
  <si>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</si>
  <si>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</si>
  <si>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</si>
  <si>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</si>
  <si>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</si>
  <si>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</si>
  <si>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</si>
  <si>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</si>
  <si>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</si>
  <si>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</si>
  <si>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</si>
  <si>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</si>
  <si>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</si>
  <si>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</si>
  <si>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</si>
  <si>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</si>
  <si>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</si>
  <si>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</si>
  <si>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</si>
  <si>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</si>
  <si>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</si>
  <si>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</si>
  <si>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</si>
  <si>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</si>
  <si>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</si>
  <si>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</si>
  <si>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</si>
  <si>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</si>
  <si>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</si>
  <si>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</si>
  <si>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</si>
  <si>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</si>
  <si>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</si>
  <si>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</si>
  <si>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</si>
  <si>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</si>
  <si>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</si>
  <si>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</si>
  <si>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</si>
  <si>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</si>
  <si>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</si>
  <si>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</si>
  <si>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</si>
  <si>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</si>
  <si>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</si>
  <si>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</si>
  <si>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</si>
  <si>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</si>
  <si>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</si>
  <si>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</si>
  <si>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</si>
  <si>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</si>
  <si>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</si>
  <si>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</si>
  <si>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</si>
  <si>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</si>
  <si>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</si>
  <si>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</si>
  <si>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</si>
  <si>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</si>
  <si>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</si>
  <si>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</si>
  <si>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</si>
  <si>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</si>
  <si>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</si>
  <si>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</si>
  <si>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</si>
  <si>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</si>
  <si>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</si>
  <si>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</si>
  <si>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</si>
  <si>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</si>
  <si>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</si>
  <si>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</si>
  <si>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</si>
  <si>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</si>
  <si>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</si>
  <si>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</si>
  <si>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</si>
  <si>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</si>
  <si>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</si>
  <si>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</si>
  <si>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</si>
  <si>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</si>
  <si>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</si>
  <si>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</si>
  <si>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</si>
  <si>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</si>
  <si>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</si>
  <si>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</si>
  <si>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</si>
  <si>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</si>
  <si>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</si>
  <si>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</si>
  <si>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</si>
  <si>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</si>
  <si>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</si>
  <si>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</si>
  <si>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</si>
  <si>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</si>
  <si>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</si>
  <si>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</si>
  <si>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</si>
  <si>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</si>
  <si>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</si>
  <si>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</si>
  <si>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</si>
  <si>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</si>
  <si>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</si>
  <si>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</si>
  <si>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</si>
  <si>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</si>
  <si>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</si>
  <si>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</si>
  <si>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</si>
  <si>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</si>
  <si>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</si>
  <si>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</si>
  <si>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</si>
  <si>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</si>
  <si>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</si>
  <si>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</si>
  <si>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</si>
  <si>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</si>
  <si>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</si>
  <si>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</si>
  <si>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</si>
  <si>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</si>
  <si>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</si>
  <si>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</si>
  <si>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</si>
  <si>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</si>
  <si>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</si>
  <si>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</si>
  <si>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</si>
  <si>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</si>
  <si>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</si>
  <si>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</si>
  <si>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</si>
  <si>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</si>
  <si>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</si>
  <si>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</si>
  <si>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</si>
  <si>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</si>
  <si>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</si>
  <si>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</si>
  <si>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</si>
  <si>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</si>
  <si>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</si>
  <si>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</si>
  <si>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</si>
  <si>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</si>
  <si>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</si>
  <si>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</si>
  <si>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</si>
  <si>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</si>
  <si>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</si>
  <si>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</si>
  <si>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</si>
  <si>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</si>
  <si>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</si>
  <si>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</si>
  <si>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</si>
  <si>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</si>
  <si>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</si>
  <si>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</si>
  <si>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</si>
  <si>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</si>
  <si>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</si>
  <si>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</si>
  <si>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</si>
  <si>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</si>
  <si>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</si>
  <si>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</si>
  <si>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</si>
  <si>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</si>
  <si>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</si>
  <si>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</si>
  <si>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</si>
  <si>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</si>
  <si>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</si>
  <si>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</si>
  <si>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</si>
  <si>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</si>
  <si>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</si>
  <si>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</si>
  <si>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</si>
  <si>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</si>
  <si>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</si>
  <si>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</si>
  <si>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</si>
  <si>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</si>
  <si>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</si>
  <si>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</si>
  <si>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</si>
  <si>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</si>
  <si>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</si>
  <si>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</si>
  <si>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</si>
  <si>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</si>
  <si>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</si>
  <si>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</si>
  <si>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</si>
  <si>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</si>
  <si>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</si>
  <si>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</si>
  <si>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</si>
  <si>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</si>
  <si>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</si>
  <si>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</si>
  <si>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</si>
  <si>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</si>
  <si>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</si>
  <si>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</si>
  <si>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</si>
  <si>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</si>
  <si>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</si>
  <si>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</si>
  <si>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</si>
  <si>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</si>
  <si>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</si>
  <si>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</si>
  <si>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</si>
  <si>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</si>
  <si>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</si>
  <si>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</si>
  <si>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</si>
  <si>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</si>
  <si>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</si>
  <si>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</si>
  <si>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</si>
  <si>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</si>
  <si>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</si>
  <si>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</si>
  <si>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</si>
  <si>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</si>
  <si>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</si>
  <si>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</si>
  <si>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</si>
  <si>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</si>
  <si>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</si>
  <si>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</si>
  <si>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</si>
  <si>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</si>
  <si>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</si>
  <si>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</si>
  <si>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</si>
  <si>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</si>
  <si>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</si>
  <si>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</si>
  <si>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</si>
  <si>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</si>
  <si>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</si>
  <si>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</si>
  <si>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</si>
  <si>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</si>
  <si>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</si>
  <si>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</si>
  <si>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</si>
  <si>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</si>
  <si>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</si>
  <si>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</si>
  <si>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</si>
  <si>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</si>
  <si>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</si>
  <si>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</si>
  <si>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</si>
  <si>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</si>
  <si>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</si>
  <si>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</si>
  <si>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</si>
  <si>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</si>
  <si>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</si>
  <si>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</si>
  <si>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</si>
  <si>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</si>
  <si>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</si>
  <si>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</si>
  <si>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</si>
  <si>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</si>
  <si>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</si>
  <si>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</si>
  <si>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</si>
  <si>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</si>
  <si>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</si>
  <si>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</si>
  <si>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</si>
  <si>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</si>
  <si>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</si>
  <si>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</si>
  <si>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</si>
  <si>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</si>
  <si>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</si>
  <si>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</si>
  <si>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</si>
  <si>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</si>
  <si>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</si>
  <si>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</si>
  <si>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</si>
  <si>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</si>
  <si>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</si>
  <si>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</si>
  <si>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</si>
  <si>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</si>
  <si>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</si>
  <si>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</si>
  <si>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</si>
  <si>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</si>
  <si>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</si>
  <si>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</si>
  <si>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</si>
  <si>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</si>
  <si>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</si>
  <si>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</si>
  <si>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</si>
  <si>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</si>
  <si>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</si>
  <si>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</si>
  <si>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</si>
  <si>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</si>
  <si>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</si>
  <si>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</si>
  <si>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</si>
  <si>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</si>
  <si>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</si>
  <si>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</si>
  <si>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</si>
  <si>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</si>
  <si>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</si>
  <si>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</si>
  <si>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</si>
  <si>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</si>
  <si>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</si>
  <si>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</si>
  <si>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</si>
  <si>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</si>
  <si>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</si>
  <si>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</si>
  <si>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</si>
  <si>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</si>
  <si>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</si>
  <si>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</si>
  <si>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</si>
  <si>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</si>
  <si>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</si>
  <si>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</si>
  <si>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</si>
  <si>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</si>
  <si>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</si>
  <si>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</si>
  <si>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</si>
  <si>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</si>
  <si>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</si>
  <si>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</si>
  <si>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</si>
  <si>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</si>
  <si>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</si>
  <si>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</si>
  <si>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</si>
  <si>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</si>
  <si>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</si>
  <si>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</si>
  <si>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</si>
  <si>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</si>
  <si>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</si>
  <si>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</si>
  <si>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</si>
  <si>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</si>
  <si>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</si>
  <si>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</si>
  <si>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</si>
  <si>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</si>
  <si>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</si>
  <si>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</si>
  <si>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</si>
  <si>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</si>
  <si>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</si>
  <si>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</si>
  <si>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</si>
  <si>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</si>
  <si>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</si>
  <si>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</si>
  <si>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</si>
  <si>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</si>
  <si>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</si>
  <si>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</si>
  <si>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</si>
  <si>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</si>
  <si>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</si>
  <si>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</si>
  <si>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</si>
  <si>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</si>
  <si>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</si>
  <si>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</si>
  <si>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</si>
  <si>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</si>
  <si>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</si>
  <si>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</si>
  <si>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</si>
  <si>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</si>
  <si>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</si>
  <si>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</si>
  <si>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</si>
  <si>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</si>
  <si>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</si>
  <si>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</si>
  <si>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</si>
  <si>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</si>
  <si>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</si>
  <si>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</si>
  <si>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</si>
  <si>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</si>
  <si>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</si>
  <si>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</si>
  <si>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</si>
  <si>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</si>
  <si>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</si>
  <si>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</si>
  <si>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</si>
  <si>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</si>
  <si>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</si>
  <si>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</si>
  <si>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</si>
  <si>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</si>
  <si>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</si>
  <si>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</si>
  <si>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</si>
  <si>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</si>
  <si>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</si>
  <si>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</si>
  <si>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</si>
  <si>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</si>
  <si>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</si>
  <si>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</si>
  <si>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</si>
  <si>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</si>
  <si>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</si>
  <si>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</si>
  <si>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</si>
  <si>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</si>
  <si>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</si>
  <si>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</si>
  <si>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</si>
  <si>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</si>
  <si>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</si>
  <si>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</si>
  <si>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</si>
  <si>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</si>
  <si>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</si>
  <si>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</si>
  <si>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</si>
  <si>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</si>
  <si>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</si>
  <si>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</si>
  <si>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</si>
  <si>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</si>
  <si>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</si>
  <si>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</si>
  <si>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</si>
  <si>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</si>
  <si>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</si>
  <si>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</si>
  <si>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</si>
  <si>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</si>
  <si>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</si>
  <si>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</si>
  <si>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</si>
  <si>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</si>
  <si>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</si>
  <si>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</si>
  <si>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</si>
  <si>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</si>
  <si>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</si>
  <si>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</si>
  <si>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</si>
  <si>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</si>
  <si>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</si>
  <si>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</si>
  <si>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</si>
  <si>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</si>
  <si>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</si>
  <si>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</si>
  <si>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</si>
  <si>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</si>
  <si>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</si>
  <si>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</si>
  <si>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</si>
  <si>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</si>
  <si>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</si>
  <si>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</si>
  <si>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</si>
  <si>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</si>
  <si>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</si>
  <si>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</si>
  <si>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</si>
  <si>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</si>
  <si>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</si>
  <si>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</si>
  <si>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</si>
  <si>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</si>
  <si>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</si>
  <si>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</si>
  <si>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</si>
  <si>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</si>
  <si>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</si>
  <si>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</si>
  <si>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</si>
  <si>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</si>
  <si>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</si>
  <si>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</si>
  <si>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</si>
  <si>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</si>
  <si>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</si>
  <si>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</si>
  <si>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</si>
  <si>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</si>
  <si>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</si>
  <si>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</si>
  <si>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</si>
  <si>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</si>
  <si>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</si>
  <si>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</si>
  <si>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</si>
  <si>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</si>
  <si>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</si>
  <si>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</si>
  <si>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</si>
  <si>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</si>
  <si>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</si>
  <si>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</si>
  <si>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</si>
  <si>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</si>
  <si>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</si>
  <si>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</si>
  <si>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</si>
  <si>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</si>
  <si>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</si>
  <si>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</si>
  <si>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</si>
  <si>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</si>
  <si>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</si>
  <si>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</si>
  <si>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</si>
  <si>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</si>
  <si>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</si>
  <si>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</si>
  <si>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</si>
  <si>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</si>
  <si>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</si>
  <si>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</si>
  <si>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</si>
  <si>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</si>
  <si>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</si>
  <si>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</si>
  <si>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</si>
  <si>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</si>
  <si>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</si>
  <si>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</si>
  <si>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</si>
  <si>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</si>
  <si>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</si>
  <si>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</si>
  <si>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</si>
  <si>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</si>
  <si>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</si>
  <si>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</si>
  <si>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</si>
  <si>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</si>
  <si>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</si>
  <si>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</si>
  <si>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</si>
  <si>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</si>
  <si>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</si>
  <si>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</si>
  <si>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</si>
  <si>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</si>
  <si>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</si>
  <si>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</si>
  <si>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</si>
  <si>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</si>
  <si>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</si>
  <si>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</si>
  <si>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</si>
  <si>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</si>
  <si>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</si>
  <si>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</si>
  <si>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</si>
  <si>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</si>
  <si>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</si>
  <si>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</si>
  <si>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</si>
  <si>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</si>
  <si>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</si>
  <si>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</si>
  <si>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</si>
  <si>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</si>
  <si>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</si>
  <si>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</si>
  <si>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</si>
  <si>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</si>
  <si>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</si>
  <si>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</si>
  <si>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</si>
  <si>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</si>
  <si>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</si>
  <si>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</si>
  <si>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</si>
  <si>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</si>
  <si>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</si>
  <si>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</si>
  <si>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</si>
  <si>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</si>
  <si>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</si>
  <si>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</si>
  <si>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</si>
  <si>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</si>
  <si>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</si>
  <si>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</si>
  <si>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</si>
  <si>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</si>
  <si>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</si>
  <si>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</si>
  <si>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</si>
  <si>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</si>
  <si>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</si>
  <si>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</si>
  <si>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</si>
  <si>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</si>
  <si>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</si>
  <si>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</si>
  <si>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</si>
  <si>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</si>
  <si>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</si>
  <si>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</si>
  <si>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</si>
  <si>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</si>
  <si>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</si>
  <si>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</si>
  <si>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</si>
  <si>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</si>
  <si>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</si>
  <si>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</si>
  <si>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</si>
  <si>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</si>
  <si>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</si>
  <si>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</si>
  <si>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</si>
  <si>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</si>
  <si>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</si>
  <si>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</si>
  <si>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</si>
  <si>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</si>
  <si>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</si>
  <si>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</si>
  <si>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</si>
  <si>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</si>
  <si>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</si>
  <si>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</si>
  <si>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</si>
  <si>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</si>
  <si>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</si>
  <si>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</si>
  <si>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</si>
  <si>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</si>
  <si>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</si>
  <si>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</si>
  <si>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</si>
  <si>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</si>
  <si>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</si>
  <si>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</si>
  <si>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</si>
  <si>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</si>
  <si>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</si>
  <si>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</si>
  <si>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</si>
  <si>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</si>
  <si>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</si>
  <si>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</si>
  <si>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</si>
  <si>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</si>
  <si>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</si>
  <si>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</si>
  <si>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</si>
  <si>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</si>
  <si>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</si>
  <si>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</si>
  <si>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</si>
  <si>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</si>
  <si>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</si>
  <si>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</si>
  <si>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</si>
  <si>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</si>
  <si>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</si>
  <si>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</si>
  <si>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</si>
  <si>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</si>
  <si>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</si>
  <si>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</si>
  <si>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</si>
  <si>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</si>
  <si>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</si>
  <si>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</si>
  <si>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</si>
  <si>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</si>
  <si>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</si>
  <si>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</si>
  <si>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</si>
  <si>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</si>
  <si>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</si>
  <si>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</si>
  <si>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</si>
  <si>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</si>
  <si>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</si>
  <si>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</si>
  <si>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</si>
  <si>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</si>
  <si>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</si>
  <si>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</si>
  <si>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</si>
  <si>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</si>
  <si>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</si>
  <si>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</si>
  <si>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</si>
  <si>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</si>
  <si>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</si>
  <si>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</si>
  <si>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</si>
  <si>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</si>
  <si>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</si>
  <si>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</si>
  <si>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</si>
  <si>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</si>
  <si>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</si>
  <si>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</si>
  <si>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</si>
  <si>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</si>
  <si>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</si>
  <si>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</si>
  <si>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</si>
  <si>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</si>
  <si>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</si>
  <si>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</si>
  <si>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</si>
  <si>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</si>
  <si>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</si>
  <si>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</si>
  <si>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</si>
  <si>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</si>
  <si>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</si>
  <si>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</si>
  <si>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</si>
  <si>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</si>
  <si>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</si>
  <si>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</si>
  <si>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</si>
  <si>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</si>
  <si>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</si>
  <si>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</si>
  <si>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</si>
  <si>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</si>
  <si>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</si>
  <si>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</si>
  <si>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</si>
  <si>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</si>
  <si>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</si>
  <si>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</si>
  <si>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</si>
  <si>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</si>
  <si>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</si>
  <si>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</si>
  <si>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</si>
  <si>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</si>
  <si>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</si>
  <si>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</si>
  <si>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</si>
  <si>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</si>
  <si>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</si>
  <si>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</si>
  <si>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</si>
  <si>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</si>
  <si>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</si>
  <si>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</si>
  <si>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</si>
  <si>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</si>
  <si>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</si>
  <si>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</si>
  <si>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</si>
  <si>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</si>
  <si>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</si>
  <si>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</si>
  <si>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</si>
  <si>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</si>
  <si>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</si>
  <si>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</si>
  <si>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</si>
  <si>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</si>
  <si>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</si>
  <si>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</si>
  <si>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</si>
  <si>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</si>
  <si>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</si>
  <si>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</si>
  <si>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</si>
  <si>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</si>
  <si>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</si>
  <si>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</si>
  <si>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</si>
  <si>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</si>
  <si>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</si>
  <si>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</si>
  <si>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</si>
  <si>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</si>
  <si>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</si>
  <si>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</si>
  <si>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</si>
  <si>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</si>
  <si>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</si>
  <si>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</si>
  <si>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</si>
  <si>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</si>
  <si>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</si>
  <si>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</si>
  <si>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</si>
  <si>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</si>
  <si>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</si>
  <si>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</si>
  <si>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</si>
  <si>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</si>
  <si>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</si>
  <si>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</si>
  <si>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</si>
  <si>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</si>
  <si>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</si>
  <si>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</si>
  <si>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</si>
  <si>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</si>
  <si>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</si>
  <si>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</si>
  <si>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</si>
  <si>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</si>
  <si>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</si>
  <si>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</si>
  <si>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</si>
  <si>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</si>
  <si>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</si>
  <si>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</si>
  <si>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</si>
  <si>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</si>
  <si>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</si>
  <si>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</si>
  <si>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</si>
  <si>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</si>
  <si>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</si>
  <si>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</si>
  <si>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</si>
  <si>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</si>
  <si>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</si>
  <si>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</si>
  <si>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</si>
  <si>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</si>
  <si>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</si>
  <si>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</si>
  <si>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</si>
  <si>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</si>
  <si>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</si>
  <si>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</si>
  <si>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</si>
  <si>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</si>
  <si>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</si>
  <si>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</si>
  <si>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</si>
  <si>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</si>
  <si>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</si>
  <si>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</si>
  <si>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</si>
  <si>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</si>
  <si>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</si>
  <si>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</si>
  <si>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</si>
  <si>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</si>
  <si>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</si>
  <si>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</si>
  <si>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</si>
  <si>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</si>
  <si>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</si>
  <si>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</si>
  <si>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</si>
  <si>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</si>
  <si>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</si>
  <si>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</si>
  <si>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</si>
  <si>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</si>
  <si>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</si>
  <si>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</si>
  <si>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</si>
  <si>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</si>
  <si>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</si>
  <si>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</si>
  <si>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</si>
  <si>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</si>
  <si>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</si>
  <si>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</si>
  <si>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</si>
  <si>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</si>
  <si>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</si>
  <si>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</si>
  <si>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</si>
  <si>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</si>
  <si>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</si>
  <si>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</si>
  <si>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</si>
  <si>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</si>
  <si>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</si>
  <si>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</si>
  <si>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</si>
  <si>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</si>
  <si>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</si>
  <si>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</si>
  <si>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</si>
  <si>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</si>
  <si>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</si>
  <si>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</si>
  <si>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</si>
  <si>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</si>
  <si>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</si>
  <si>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</si>
  <si>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</si>
  <si>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</si>
  <si>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</si>
  <si>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</si>
  <si>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</si>
  <si>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</si>
  <si>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</si>
  <si>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</si>
  <si>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</si>
  <si>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</si>
  <si>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</si>
  <si>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</si>
  <si>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</si>
  <si>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</si>
  <si>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</si>
  <si>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</si>
  <si>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</si>
  <si>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</si>
  <si>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</si>
  <si>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</si>
  <si>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</si>
  <si>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</si>
  <si>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</si>
  <si>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</si>
  <si>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</si>
  <si>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</si>
  <si>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</si>
  <si>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</si>
  <si>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</si>
  <si>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</si>
  <si>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</si>
  <si>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</si>
  <si>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</si>
  <si>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</si>
  <si>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</si>
  <si>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</si>
  <si>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</si>
  <si>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</si>
  <si>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</si>
  <si>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</si>
  <si>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</si>
  <si>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</si>
  <si>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</si>
  <si>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</si>
  <si>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</si>
  <si>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</si>
  <si>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</si>
  <si>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</si>
  <si>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</si>
  <si>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</si>
  <si>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</si>
  <si>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</si>
  <si>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</si>
  <si>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</si>
  <si>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</si>
  <si>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</si>
  <si>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</si>
  <si>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</si>
  <si>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</si>
  <si>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</si>
  <si>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</si>
  <si>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</si>
  <si>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</si>
  <si>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</si>
  <si>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</si>
  <si>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</si>
  <si>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</si>
  <si>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</si>
  <si>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</si>
  <si>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</si>
  <si>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</si>
  <si>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</si>
  <si>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</si>
  <si>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</si>
  <si>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</si>
  <si>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</si>
  <si>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</si>
  <si>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</si>
  <si>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</si>
  <si>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</si>
  <si>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</si>
  <si>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</si>
  <si>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</si>
  <si>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</si>
  <si>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</si>
  <si>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</si>
  <si>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</si>
  <si>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</si>
  <si>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</si>
  <si>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</si>
  <si>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</si>
  <si>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</si>
  <si>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</si>
  <si>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</si>
  <si>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</si>
  <si>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</si>
  <si>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</si>
  <si>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</si>
  <si>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</si>
  <si>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</si>
  <si>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</si>
  <si>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</si>
  <si>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</si>
  <si>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</si>
  <si>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</si>
  <si>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</si>
  <si>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</si>
  <si>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</si>
  <si>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</si>
  <si>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</si>
  <si>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</si>
  <si>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</si>
  <si>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</si>
  <si>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</si>
  <si>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</si>
  <si>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</si>
  <si>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</si>
  <si>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</si>
  <si>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</si>
  <si>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</si>
  <si>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</si>
  <si>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</si>
  <si>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</si>
  <si>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</si>
  <si>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</si>
  <si>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</si>
  <si>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</si>
  <si>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</si>
  <si>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</si>
  <si>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</si>
  <si>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</si>
  <si>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</si>
  <si>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</si>
  <si>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</si>
  <si>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</si>
  <si>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</si>
  <si>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</si>
  <si>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</si>
  <si>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</si>
  <si>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</si>
  <si>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</si>
  <si>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</si>
  <si>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</si>
  <si>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</si>
  <si>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</si>
  <si>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</si>
  <si>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</si>
  <si>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</si>
  <si>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</si>
  <si>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</si>
  <si>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</si>
  <si>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</si>
  <si>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</si>
  <si>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</si>
  <si>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</si>
  <si>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</si>
  <si>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</si>
  <si>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</si>
  <si>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</si>
  <si>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</si>
  <si>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</si>
  <si>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</si>
  <si>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</si>
  <si>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</si>
  <si>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</si>
  <si>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</si>
  <si>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</si>
  <si>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</si>
  <si>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</si>
  <si>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</si>
  <si>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</si>
  <si>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</si>
  <si>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</si>
  <si>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</si>
  <si>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</si>
  <si>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</si>
  <si>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</si>
  <si>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</si>
  <si>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</si>
  <si>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</si>
  <si>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</si>
  <si>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</si>
  <si>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</si>
  <si>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</si>
  <si>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</si>
  <si>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</si>
  <si>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</si>
  <si>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</si>
  <si>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</si>
  <si>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</si>
  <si>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</si>
  <si>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</si>
  <si>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</si>
  <si>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</si>
  <si>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</si>
  <si>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</si>
  <si>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</si>
  <si>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</si>
  <si>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</si>
  <si>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</si>
  <si>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</si>
  <si>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</si>
  <si>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</si>
  <si>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</si>
  <si>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</si>
  <si>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</si>
  <si>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</si>
  <si>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</si>
  <si>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</si>
  <si>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</si>
  <si>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</si>
  <si>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</si>
  <si>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</si>
  <si>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</si>
  <si>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</si>
  <si>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</si>
  <si>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</si>
  <si>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</si>
  <si>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</si>
  <si>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</si>
  <si>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</si>
  <si>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</si>
  <si>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</si>
  <si>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</si>
  <si>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</si>
  <si>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</si>
  <si>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</si>
  <si>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</si>
  <si>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</si>
  <si>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</si>
  <si>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</si>
  <si>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</si>
  <si>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</si>
  <si>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</si>
  <si>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</si>
  <si>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</si>
  <si>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</si>
  <si>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</si>
  <si>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</si>
  <si>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</si>
  <si>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</si>
  <si>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</si>
  <si>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</si>
  <si>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</si>
  <si>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</si>
  <si>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</si>
  <si>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</si>
  <si>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</si>
  <si>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</si>
  <si>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</si>
  <si>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</si>
  <si>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</si>
  <si>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</si>
  <si>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</si>
  <si>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</si>
  <si>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</si>
  <si>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</si>
  <si>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</si>
  <si>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</si>
  <si>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</si>
  <si>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</si>
  <si>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</si>
  <si>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</si>
  <si>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</si>
  <si>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</si>
  <si>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</si>
  <si>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</si>
  <si>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</si>
  <si>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</si>
  <si>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</si>
  <si>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</si>
  <si>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</si>
  <si>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</si>
  <si>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</si>
  <si>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</si>
  <si>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</si>
  <si>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</si>
  <si>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</si>
  <si>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</si>
  <si>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</si>
  <si>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</si>
  <si>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</si>
  <si>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</si>
  <si>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</si>
  <si>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</si>
  <si>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</si>
  <si>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</si>
  <si>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</si>
  <si>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</si>
  <si>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</si>
  <si>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</si>
  <si>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</si>
  <si>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</si>
  <si>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</si>
  <si>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</si>
  <si>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</si>
  <si>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</si>
  <si>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</si>
  <si>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</si>
  <si>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</si>
  <si>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</si>
  <si>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</si>
  <si>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</si>
  <si>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</si>
  <si>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</si>
  <si>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</si>
  <si>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</si>
  <si>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</si>
  <si>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</si>
  <si>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</si>
  <si>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</si>
  <si>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</si>
  <si>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</si>
  <si>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</si>
  <si>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</si>
  <si>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</si>
  <si>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</si>
  <si>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</si>
  <si>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</si>
  <si>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</si>
  <si>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</si>
  <si>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</si>
  <si>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</si>
  <si>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</si>
  <si>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</si>
  <si>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</si>
  <si>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</si>
  <si>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</si>
  <si>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</si>
  <si>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</si>
  <si>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</si>
  <si>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</si>
  <si>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</si>
  <si>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</si>
  <si>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</si>
  <si>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</si>
  <si>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</si>
  <si>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</si>
  <si>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</si>
  <si>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</si>
  <si>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</si>
  <si>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</si>
  <si>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</si>
  <si>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</si>
  <si>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</si>
  <si>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</si>
  <si>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</si>
  <si>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</si>
  <si>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</si>
  <si>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</si>
  <si>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</si>
  <si>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</si>
  <si>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</si>
  <si>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</si>
  <si>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</si>
  <si>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</si>
  <si>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</si>
  <si>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</si>
  <si>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</si>
  <si>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</si>
  <si>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</si>
  <si>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</si>
  <si>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</si>
  <si>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</si>
  <si>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</si>
  <si>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</si>
  <si>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</si>
  <si>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</si>
  <si>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</si>
  <si>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</si>
  <si>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</si>
  <si>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</si>
  <si>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</si>
  <si>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</si>
  <si>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</si>
  <si>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</si>
  <si>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</si>
  <si>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</si>
  <si>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</si>
  <si>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</si>
  <si>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</si>
  <si>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</si>
  <si>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</si>
  <si>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</si>
  <si>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</si>
  <si>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</si>
  <si>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</si>
  <si>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</si>
  <si>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</si>
  <si>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</si>
  <si>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</si>
  <si>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</si>
  <si>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</si>
  <si>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</si>
  <si>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</si>
  <si>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</si>
  <si>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</si>
  <si>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</si>
  <si>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</si>
  <si>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</si>
  <si>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</si>
  <si>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</si>
  <si>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</si>
  <si>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</si>
  <si>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</si>
  <si>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</si>
  <si>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</si>
  <si>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</si>
  <si>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</si>
  <si>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</si>
  <si>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</si>
  <si>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</si>
  <si>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</si>
  <si>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</si>
  <si>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</si>
  <si>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</si>
  <si>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</si>
  <si>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</si>
  <si>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</si>
  <si>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</si>
  <si>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</si>
  <si>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</si>
  <si>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</si>
  <si>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</si>
  <si>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</si>
  <si>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</si>
  <si>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</si>
  <si>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</si>
  <si>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</si>
  <si>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</si>
  <si>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</si>
  <si>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</si>
  <si>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</si>
  <si>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</si>
  <si>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</si>
  <si>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</si>
  <si>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</si>
  <si>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</si>
  <si>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</si>
  <si>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</si>
  <si>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</si>
  <si>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</si>
  <si>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</si>
  <si>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</si>
  <si>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</si>
  <si>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</si>
  <si>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</si>
  <si>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</si>
  <si>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</si>
  <si>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</si>
  <si>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</si>
  <si>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</si>
  <si>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</si>
  <si>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</si>
  <si>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</si>
  <si>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</si>
  <si>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</si>
  <si>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</si>
  <si>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</si>
  <si>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</si>
  <si>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</si>
  <si>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</si>
  <si>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</si>
  <si>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</si>
  <si>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</si>
  <si>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</si>
  <si>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</si>
  <si>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</si>
  <si>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</si>
  <si>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</si>
  <si>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</si>
  <si>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</si>
  <si>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</si>
  <si>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</si>
  <si>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</si>
  <si>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</si>
  <si>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</si>
  <si>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</si>
  <si>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</si>
  <si>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</si>
  <si>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</si>
  <si>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</si>
  <si>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</si>
  <si>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</si>
  <si>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</si>
  <si>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</si>
  <si>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</si>
  <si>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</si>
  <si>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</si>
  <si>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</si>
  <si>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</si>
  <si>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</si>
  <si>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</si>
  <si>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</si>
  <si>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</si>
  <si>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</si>
  <si>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</si>
  <si>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</si>
  <si>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</si>
  <si>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</si>
  <si>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</si>
  <si>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</si>
  <si>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</si>
  <si>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</si>
  <si>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</si>
  <si>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</si>
  <si>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</si>
  <si>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</si>
  <si>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</si>
  <si>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</si>
  <si>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</si>
  <si>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</si>
  <si>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</si>
  <si>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</si>
  <si>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</si>
  <si>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</si>
  <si>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</si>
  <si>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</si>
  <si>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</si>
  <si>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</si>
  <si>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</si>
  <si>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</si>
  <si>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</si>
  <si>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</si>
  <si>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</si>
  <si>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</si>
  <si>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</si>
  <si>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</si>
  <si>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</si>
  <si>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</si>
  <si>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</si>
  <si>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</si>
  <si>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</si>
  <si>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</si>
  <si>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</si>
  <si>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</si>
  <si>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</si>
  <si>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</si>
  <si>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</si>
  <si>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</si>
  <si>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</si>
  <si>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</si>
  <si>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</si>
  <si>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</si>
  <si>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</si>
  <si>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</si>
  <si>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</si>
  <si>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</si>
  <si>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</si>
  <si>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</si>
  <si>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</si>
  <si>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</si>
  <si>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</si>
  <si>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</si>
  <si>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</si>
  <si>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</si>
  <si>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</si>
  <si>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</si>
  <si>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</si>
  <si>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</si>
  <si>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</si>
  <si>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</si>
  <si>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</si>
  <si>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</si>
  <si>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</si>
  <si>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</si>
  <si>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</si>
  <si>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</si>
  <si>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</si>
  <si>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</si>
  <si>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</si>
  <si>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</si>
  <si>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</si>
  <si>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</si>
  <si>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</si>
  <si>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</si>
  <si>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</si>
  <si>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</si>
  <si>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</si>
  <si>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</si>
  <si>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</si>
  <si>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</si>
  <si>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</si>
  <si>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</si>
  <si>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</si>
  <si>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</si>
  <si>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</si>
  <si>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</si>
  <si>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</si>
  <si>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</si>
  <si>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</si>
  <si>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</si>
  <si>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</si>
  <si>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</si>
  <si>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</si>
  <si>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</si>
  <si>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</si>
  <si>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</si>
  <si>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</si>
  <si>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</si>
  <si>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</si>
  <si>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</si>
  <si>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</si>
  <si>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</si>
  <si>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</si>
  <si>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</si>
  <si>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</si>
  <si>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</si>
  <si>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</si>
  <si>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</si>
  <si>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</si>
  <si>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</si>
  <si>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</si>
  <si>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</si>
  <si>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</si>
  <si>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</si>
  <si>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</si>
  <si>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</si>
  <si>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</si>
  <si>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</si>
  <si>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</si>
  <si>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</si>
  <si>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</si>
  <si>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</si>
  <si>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</si>
  <si>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</si>
  <si>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</si>
  <si>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</si>
  <si>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</si>
  <si>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</si>
  <si>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</si>
  <si>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</si>
  <si>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</si>
  <si>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</si>
  <si>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</si>
  <si>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</si>
  <si>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</si>
  <si>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</si>
  <si>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</si>
  <si>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</si>
  <si>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</si>
  <si>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</si>
  <si>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</si>
  <si>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</si>
  <si>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</si>
  <si>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</si>
  <si>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</si>
  <si>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</si>
  <si>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</si>
  <si>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</si>
  <si>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</si>
  <si>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</si>
  <si>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</si>
  <si>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</si>
  <si>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</si>
  <si>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</si>
  <si>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</si>
  <si>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</si>
  <si>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</si>
  <si>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</si>
  <si>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</si>
  <si>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</si>
  <si>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</si>
  <si>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</si>
  <si>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</si>
  <si>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</si>
  <si>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</si>
  <si>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</si>
  <si>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</si>
  <si>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</si>
  <si>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</si>
  <si>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</si>
  <si>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</si>
  <si>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</si>
  <si>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</si>
  <si>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</si>
  <si>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</si>
  <si>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</si>
  <si>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</si>
  <si>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</si>
  <si>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</si>
  <si>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</si>
  <si>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</si>
  <si>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</si>
  <si>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</si>
  <si>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</si>
  <si>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</si>
  <si>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</si>
  <si>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</si>
  <si>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</si>
  <si>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</si>
  <si>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</si>
  <si>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</si>
  <si>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</si>
  <si>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</si>
  <si>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</si>
  <si>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</si>
  <si>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</si>
  <si>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</si>
  <si>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</si>
  <si>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</si>
  <si>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</si>
  <si>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</si>
  <si>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</si>
  <si>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</si>
  <si>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</si>
  <si>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</si>
  <si>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</si>
  <si>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</si>
  <si>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</si>
  <si>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</si>
  <si>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</si>
  <si>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</si>
  <si>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</si>
  <si>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</si>
  <si>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</si>
  <si>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</si>
  <si>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</si>
  <si>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</si>
  <si>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</si>
  <si>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</si>
  <si>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</si>
  <si>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</si>
  <si>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</si>
  <si>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</si>
  <si>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</si>
  <si>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</si>
  <si>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</si>
  <si>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</si>
  <si>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</si>
  <si>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</si>
  <si>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</si>
  <si>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</si>
  <si>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</si>
  <si>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</si>
  <si>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</si>
  <si>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</si>
  <si>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</si>
  <si>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</si>
  <si>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</si>
  <si>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</si>
  <si>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</si>
  <si>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</si>
  <si>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</si>
  <si>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</si>
  <si>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</si>
  <si>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</si>
  <si>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</si>
  <si>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</si>
  <si>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</si>
  <si>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</si>
  <si>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</si>
  <si>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</si>
  <si>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</si>
  <si>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</si>
  <si>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</si>
  <si>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</si>
  <si>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</si>
  <si>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</si>
  <si>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</si>
  <si>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</si>
  <si>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</si>
  <si>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</si>
  <si>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</si>
  <si>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</si>
  <si>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</si>
  <si>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</si>
  <si>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</si>
  <si>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</si>
  <si>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</si>
  <si>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</si>
  <si>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</si>
  <si>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</si>
  <si>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</si>
  <si>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</si>
  <si>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</si>
  <si>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</si>
  <si>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</si>
  <si>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</si>
  <si>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</si>
  <si>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</si>
  <si>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</si>
  <si>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</si>
  <si>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</si>
  <si>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</si>
  <si>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</si>
  <si>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</si>
  <si>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</si>
  <si>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</si>
  <si>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</si>
  <si>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</si>
  <si>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</si>
  <si>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</si>
  <si>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</si>
  <si>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</si>
  <si>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</si>
  <si>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</si>
  <si>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</si>
  <si>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</si>
  <si>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</si>
  <si>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</si>
  <si>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</si>
  <si>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</si>
  <si>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</si>
  <si>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</si>
  <si>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</si>
  <si>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</si>
  <si>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</si>
  <si>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</si>
  <si>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</si>
  <si>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</si>
  <si>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</si>
  <si>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</si>
  <si>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</si>
  <si>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</si>
  <si>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</si>
  <si>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</si>
  <si>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</si>
  <si>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</si>
  <si>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</si>
  <si>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</si>
  <si>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</si>
  <si>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</si>
  <si>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</si>
  <si>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</si>
  <si>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</si>
  <si>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</si>
  <si>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</si>
  <si>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</si>
  <si>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</si>
  <si>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</si>
  <si>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</si>
  <si>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</si>
  <si>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</si>
  <si>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</si>
  <si>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</si>
  <si>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</si>
  <si>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</si>
  <si>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</si>
  <si>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</si>
  <si>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</si>
  <si>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</si>
  <si>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</si>
  <si>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</si>
  <si>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</si>
  <si>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</si>
  <si>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</si>
  <si>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</si>
  <si>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</si>
  <si>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</si>
  <si>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</si>
  <si>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</si>
  <si>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</si>
  <si>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</si>
  <si>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</si>
  <si>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</si>
  <si>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</si>
  <si>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</si>
  <si>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</si>
  <si>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</si>
  <si>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</si>
  <si>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</si>
  <si>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</si>
  <si>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</si>
  <si>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</si>
  <si>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</si>
  <si>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</si>
  <si>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</si>
  <si>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</si>
  <si>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</si>
  <si>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</si>
  <si>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</si>
  <si>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</si>
  <si>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</si>
  <si>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</si>
  <si>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</si>
  <si>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</si>
  <si>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</si>
  <si>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</si>
  <si>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</si>
  <si>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</si>
  <si>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</si>
  <si>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</si>
  <si>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</si>
  <si>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</si>
  <si>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</si>
  <si>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</si>
  <si>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</si>
  <si>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</si>
  <si>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</si>
  <si>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</si>
  <si>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</si>
  <si>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</si>
  <si>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</si>
  <si>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</si>
  <si>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</si>
  <si>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</si>
  <si>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</si>
  <si>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</si>
  <si>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</si>
  <si>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</si>
  <si>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</si>
  <si>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</si>
  <si>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</si>
  <si>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</si>
  <si>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</si>
  <si>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</si>
  <si>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</si>
  <si>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</si>
  <si>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</si>
  <si>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</si>
  <si>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</si>
  <si>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</si>
  <si>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</si>
  <si>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</si>
  <si>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</si>
  <si>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</si>
  <si>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</si>
  <si>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</si>
  <si>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</si>
  <si>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</si>
  <si>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</si>
  <si>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</si>
  <si>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</si>
  <si>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</si>
  <si>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</si>
  <si>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</si>
  <si>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</si>
  <si>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</si>
  <si>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</si>
  <si>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</si>
  <si>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</si>
  <si>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</si>
  <si>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</si>
  <si>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</si>
  <si>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</si>
  <si>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</si>
  <si>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</si>
  <si>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</si>
  <si>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</si>
  <si>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</si>
  <si>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</si>
  <si>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</si>
  <si>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</si>
  <si>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</si>
  <si>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</si>
  <si>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</si>
  <si>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</si>
  <si>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</si>
  <si>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</si>
  <si>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</si>
  <si>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</si>
  <si>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</si>
  <si>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</si>
  <si>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</si>
  <si>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</si>
  <si>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</si>
  <si>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</si>
  <si>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</si>
  <si>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</si>
  <si>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</si>
  <si>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</si>
  <si>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</si>
  <si>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</si>
  <si>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</si>
  <si>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</si>
  <si>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</si>
  <si>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</si>
  <si>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</si>
  <si>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</si>
  <si>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</si>
  <si>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</si>
  <si>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</si>
  <si>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</si>
  <si>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</si>
  <si>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</si>
  <si>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</si>
  <si>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</si>
  <si>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</si>
  <si>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</si>
  <si>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</si>
  <si>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</si>
  <si>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</si>
  <si>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</si>
  <si>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</si>
  <si>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</si>
  <si>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</si>
  <si>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</si>
  <si>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</si>
  <si>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</si>
  <si>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</si>
  <si>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</si>
  <si>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</si>
  <si>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</si>
  <si>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</si>
  <si>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</si>
  <si>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</si>
  <si>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</si>
  <si>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</si>
  <si>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</si>
  <si>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</si>
  <si>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</si>
  <si>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</si>
  <si>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</si>
  <si>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</si>
  <si>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</si>
  <si>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</si>
  <si>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</si>
  <si>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</si>
  <si>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</si>
  <si>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</si>
  <si>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</si>
  <si>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</si>
  <si>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</si>
  <si>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</si>
  <si>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</si>
  <si>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</si>
  <si>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</si>
  <si>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</si>
  <si>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</si>
  <si>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</si>
  <si>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</si>
  <si>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</si>
  <si>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</si>
  <si>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</si>
  <si>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</si>
  <si>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</si>
  <si>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</si>
  <si>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</si>
  <si>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</si>
  <si>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</si>
  <si>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</si>
  <si>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</si>
  <si>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</si>
  <si>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</si>
  <si>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</si>
  <si>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</si>
  <si>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</si>
  <si>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</si>
  <si>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</si>
  <si>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</si>
  <si>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</si>
  <si>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</si>
  <si>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</si>
  <si>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</si>
  <si>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</si>
  <si>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</si>
  <si>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</si>
  <si>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</si>
  <si>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</si>
  <si>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</si>
  <si>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</si>
  <si>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</si>
  <si>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</si>
  <si>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</si>
  <si>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</si>
  <si>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</si>
  <si>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</si>
  <si>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</si>
  <si>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</si>
  <si>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</si>
  <si>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</si>
  <si>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</si>
  <si>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</si>
  <si>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</si>
  <si>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</si>
  <si>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</si>
  <si>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</si>
  <si>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</si>
  <si>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</si>
  <si>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</si>
  <si>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</si>
  <si>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</si>
  <si>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</si>
  <si>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</si>
  <si>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</si>
  <si>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</si>
  <si>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</si>
  <si>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</si>
  <si>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</si>
  <si>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</si>
  <si>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</si>
  <si>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</si>
  <si>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</si>
  <si>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</si>
  <si>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</si>
  <si>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</si>
  <si>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</si>
  <si>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</si>
  <si>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</si>
  <si>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</si>
  <si>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</si>
  <si>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</si>
  <si>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</si>
  <si>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</si>
  <si>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</si>
  <si>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</si>
  <si>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</si>
  <si>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</si>
  <si>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</si>
  <si>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</si>
  <si>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</si>
  <si>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</si>
  <si>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</si>
  <si>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</si>
  <si>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</si>
  <si>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</si>
  <si>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</si>
  <si>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</si>
  <si>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</si>
  <si>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</si>
  <si>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</si>
  <si>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</si>
  <si>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</si>
  <si>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</si>
  <si>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</si>
  <si>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</si>
  <si>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</si>
  <si>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</si>
  <si>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</si>
  <si>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</si>
  <si>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</si>
  <si>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</si>
  <si>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</si>
  <si>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</si>
  <si>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</si>
  <si>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</si>
  <si>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</si>
  <si>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</si>
  <si>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</si>
  <si>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</si>
  <si>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</si>
  <si>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</si>
  <si>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</si>
  <si>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</si>
  <si>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</si>
  <si>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</si>
  <si>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</si>
  <si>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</si>
  <si>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</si>
  <si>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</si>
  <si>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</si>
  <si>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</si>
  <si>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</si>
  <si>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</si>
  <si>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</si>
  <si>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</si>
  <si>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</si>
  <si>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</si>
  <si>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</si>
  <si>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</si>
  <si>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</si>
  <si>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</si>
  <si>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</si>
  <si>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</si>
  <si>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</si>
  <si>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</si>
  <si>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</si>
  <si>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</si>
  <si>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</si>
  <si>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</si>
  <si>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</si>
  <si>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</si>
  <si>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</si>
  <si>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</si>
  <si>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</si>
  <si>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</si>
  <si>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</si>
  <si>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</si>
  <si>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</si>
  <si>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</si>
  <si>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</si>
  <si>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</si>
  <si>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</si>
  <si>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</si>
  <si>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</si>
  <si>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</si>
  <si>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</si>
  <si>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</si>
  <si>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</si>
  <si>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</si>
  <si>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</si>
  <si>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</si>
  <si>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</si>
  <si>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</si>
  <si>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</si>
  <si>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</si>
  <si>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</si>
  <si>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</si>
  <si>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</si>
  <si>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</si>
  <si>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</si>
  <si>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</si>
  <si>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</si>
  <si>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</si>
  <si>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</si>
  <si>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</si>
  <si>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</si>
  <si>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</si>
  <si>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</si>
  <si>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</si>
  <si>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</si>
  <si>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</si>
  <si>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</si>
  <si>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</si>
  <si>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</si>
  <si>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</si>
  <si>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</si>
  <si>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</si>
  <si>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</si>
  <si>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</si>
  <si>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</si>
  <si>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</si>
  <si>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</si>
  <si>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</si>
  <si>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</si>
  <si>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</si>
  <si>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</si>
  <si>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</si>
  <si>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</si>
  <si>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</si>
  <si>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</si>
  <si>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</si>
  <si>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</si>
  <si>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</si>
  <si>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</si>
  <si>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</si>
  <si>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</si>
  <si>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</si>
  <si>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</si>
  <si>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</si>
  <si>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</si>
  <si>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</si>
  <si>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</si>
  <si>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</si>
  <si>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</si>
  <si>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</si>
  <si>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</si>
  <si>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</si>
  <si>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</si>
  <si>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</si>
  <si>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</si>
  <si>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</si>
  <si>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</si>
  <si>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</si>
  <si>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</si>
  <si>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</si>
  <si>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</si>
  <si>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</si>
  <si>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</si>
  <si>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</si>
  <si>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</si>
  <si>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</si>
  <si>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</si>
  <si>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</si>
  <si>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</si>
  <si>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</si>
  <si>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</si>
  <si>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</si>
  <si>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</si>
  <si>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</si>
  <si>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</si>
  <si>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</si>
  <si>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</si>
  <si>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</si>
  <si>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</si>
  <si>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</si>
  <si>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</si>
  <si>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</si>
  <si>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</si>
  <si>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</si>
  <si>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</si>
  <si>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</si>
  <si>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</si>
  <si>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</si>
  <si>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</si>
  <si>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</si>
  <si>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</si>
  <si>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</si>
  <si>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</si>
  <si>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</si>
  <si>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</si>
  <si>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</si>
  <si>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</si>
  <si>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</si>
  <si>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</si>
  <si>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</si>
  <si>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</si>
  <si>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</si>
  <si>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</si>
  <si>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</si>
  <si>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</si>
  <si>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</si>
  <si>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</si>
  <si>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</si>
  <si>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</si>
  <si>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</si>
  <si>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</si>
  <si>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</si>
  <si>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</si>
  <si>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</si>
  <si>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</si>
  <si>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</si>
  <si>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</si>
  <si>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</si>
  <si>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</si>
  <si>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</si>
  <si>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</si>
  <si>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</si>
  <si>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</si>
  <si>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</si>
  <si>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</si>
  <si>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</si>
  <si>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</si>
  <si>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</si>
  <si>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</si>
  <si>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</si>
  <si>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</si>
  <si>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</si>
  <si>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</si>
  <si>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</si>
  <si>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</si>
  <si>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</si>
  <si>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</si>
  <si>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</si>
  <si>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</si>
  <si>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</si>
  <si>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</si>
  <si>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</si>
  <si>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</si>
  <si>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</si>
  <si>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</si>
  <si>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</si>
  <si>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</si>
  <si>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</si>
  <si>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</si>
  <si>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</si>
  <si>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</si>
  <si>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</si>
  <si>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</si>
  <si>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</si>
  <si>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</si>
  <si>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</si>
  <si>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</si>
  <si>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</si>
  <si>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</si>
  <si>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</si>
  <si>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</si>
  <si>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</si>
  <si>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</si>
  <si>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</si>
  <si>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</si>
  <si>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</si>
  <si>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</si>
  <si>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</si>
  <si>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</si>
  <si>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</si>
  <si>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</si>
  <si>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</si>
  <si>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</si>
  <si>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</si>
  <si>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</si>
  <si>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</si>
  <si>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</si>
  <si>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</si>
  <si>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</si>
  <si>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</si>
  <si>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</si>
  <si>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</si>
  <si>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</si>
  <si>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</si>
  <si>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</si>
  <si>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</si>
  <si>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</si>
  <si>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</si>
  <si>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</si>
  <si>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</si>
  <si>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</si>
  <si>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</si>
  <si>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</si>
  <si>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</si>
  <si>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</si>
  <si>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</si>
  <si>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</si>
  <si>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</si>
  <si>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</si>
  <si>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</si>
  <si>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</si>
  <si>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</si>
  <si>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</si>
  <si>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</si>
  <si>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</si>
  <si>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</si>
  <si>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</si>
  <si>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</si>
  <si>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</si>
  <si>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</si>
  <si>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</si>
  <si>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</si>
  <si>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</si>
  <si>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</si>
  <si>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</si>
  <si>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</si>
  <si>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</si>
  <si>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</si>
  <si>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</si>
  <si>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</si>
  <si>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</si>
  <si>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</si>
  <si>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</si>
  <si>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</si>
  <si>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</si>
  <si>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</si>
  <si>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</si>
  <si>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</si>
  <si>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</si>
  <si>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</si>
  <si>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</si>
  <si>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</si>
  <si>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</si>
  <si>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</si>
  <si>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</si>
  <si>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</si>
  <si>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</si>
  <si>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</si>
  <si>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</si>
  <si>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</si>
  <si>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</si>
  <si>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</si>
  <si>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</si>
  <si>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</si>
  <si>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</si>
  <si>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</si>
  <si>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</si>
  <si>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</si>
  <si>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</si>
  <si>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</si>
  <si>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</si>
  <si>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</si>
  <si>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</si>
  <si>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</si>
  <si>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</si>
  <si>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</si>
  <si>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</si>
  <si>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</si>
  <si>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</si>
  <si>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</si>
  <si>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</si>
  <si>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</si>
  <si>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</si>
  <si>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</si>
  <si>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</si>
  <si>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</si>
  <si>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</si>
  <si>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</si>
  <si>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</si>
  <si>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</si>
  <si>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</si>
  <si>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</si>
  <si>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</si>
  <si>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</si>
  <si>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</si>
  <si>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</si>
  <si>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</si>
  <si>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</si>
  <si>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</si>
  <si>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</si>
  <si>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</si>
  <si>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</si>
  <si>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</si>
  <si>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</si>
  <si>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</si>
  <si>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</si>
  <si>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</si>
  <si>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</si>
  <si>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</si>
  <si>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</si>
  <si>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</si>
  <si>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</si>
  <si>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</si>
  <si>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</si>
  <si>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</si>
  <si>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</si>
  <si>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</si>
  <si>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</si>
  <si>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</si>
  <si>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</si>
  <si>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</si>
  <si>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</si>
  <si>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</si>
  <si>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</si>
  <si>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</si>
  <si>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</si>
  <si>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</si>
  <si>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</si>
  <si>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</si>
  <si>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</si>
  <si>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</si>
  <si>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</si>
  <si>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</si>
  <si>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</si>
  <si>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</si>
  <si>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</si>
  <si>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</si>
  <si>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</si>
  <si>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</si>
  <si>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</si>
  <si>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</si>
  <si>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</si>
  <si>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</si>
  <si>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</si>
  <si>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</si>
  <si>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</si>
  <si>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</si>
  <si>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</si>
  <si>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</si>
  <si>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</si>
  <si>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</si>
  <si>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</si>
  <si>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</si>
  <si>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</si>
  <si>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</si>
  <si>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</si>
  <si>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</si>
  <si>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</si>
  <si>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</si>
  <si>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</si>
  <si>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</si>
  <si>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</si>
  <si>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</si>
  <si>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</si>
  <si>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</si>
  <si>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</si>
  <si>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</si>
  <si>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</si>
  <si>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</si>
  <si>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</si>
  <si>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</si>
  <si>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</si>
  <si>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</si>
  <si>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</si>
  <si>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</si>
  <si>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</si>
  <si>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</si>
  <si>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</si>
  <si>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</si>
  <si>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</si>
  <si>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</si>
  <si>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</si>
  <si>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</si>
  <si>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</si>
  <si>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</si>
  <si>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</si>
  <si>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</si>
  <si>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</si>
  <si>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</si>
  <si>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</si>
  <si>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</si>
  <si>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</si>
  <si>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</si>
  <si>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</si>
  <si>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</si>
  <si>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</si>
  <si>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</si>
  <si>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</si>
  <si>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</si>
  <si>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</si>
  <si>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</si>
  <si>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</si>
  <si>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</si>
  <si>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</si>
  <si>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</si>
  <si>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</si>
  <si>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</si>
  <si>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</si>
  <si>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</si>
  <si>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</si>
  <si>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</si>
  <si>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</si>
  <si>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</si>
  <si>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</si>
  <si>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</si>
  <si>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</si>
  <si>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</si>
  <si>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</si>
  <si>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</si>
  <si>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</si>
  <si>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</si>
  <si>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</si>
  <si>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</si>
  <si>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</si>
  <si>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</si>
  <si>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</si>
  <si>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</si>
  <si>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</si>
  <si>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</si>
  <si>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</si>
  <si>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</si>
  <si>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</si>
  <si>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</si>
  <si>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</si>
  <si>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</si>
  <si>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</si>
  <si>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</si>
  <si>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</si>
  <si>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</si>
  <si>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</si>
  <si>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</si>
  <si>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</si>
  <si>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</si>
  <si>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</si>
  <si>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</si>
  <si>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</si>
  <si>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</si>
  <si>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</si>
  <si>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</si>
  <si>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</si>
  <si>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</si>
  <si>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</si>
  <si>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</si>
  <si>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</si>
  <si>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</si>
  <si>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</si>
  <si>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</si>
  <si>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</si>
  <si>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</si>
  <si>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</si>
  <si>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</si>
  <si>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</si>
  <si>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</si>
  <si>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</si>
  <si>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</si>
  <si>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</si>
  <si>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</si>
  <si>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</si>
  <si>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</si>
  <si>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</si>
  <si>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</si>
  <si>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</si>
  <si>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</si>
  <si>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</si>
  <si>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</si>
  <si>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</si>
  <si>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</si>
  <si>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</si>
  <si>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</si>
  <si>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</si>
  <si>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</si>
  <si>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</si>
  <si>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</si>
  <si>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</si>
  <si>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</si>
  <si>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</si>
  <si>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</si>
  <si>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</si>
  <si>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</si>
  <si>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</si>
  <si>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</si>
  <si>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</si>
  <si>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</si>
  <si>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</si>
  <si>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</si>
  <si>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</si>
  <si>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</si>
  <si>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</si>
  <si>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</si>
  <si>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</si>
  <si>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</si>
  <si>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</si>
  <si>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</si>
  <si>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</si>
  <si>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</si>
  <si>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</si>
  <si>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</si>
  <si>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</si>
  <si>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</si>
  <si>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</si>
  <si>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</si>
  <si>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</si>
  <si>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</si>
  <si>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</si>
  <si>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</si>
  <si>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</si>
  <si>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</si>
  <si>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</si>
  <si>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</si>
  <si>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</si>
  <si>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</si>
  <si>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</si>
  <si>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</si>
  <si>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</si>
  <si>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</si>
  <si>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</si>
  <si>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</si>
  <si>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</si>
  <si>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</si>
  <si>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</si>
  <si>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</si>
  <si>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</si>
  <si>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</si>
  <si>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</si>
  <si>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</si>
  <si>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</si>
  <si>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</si>
  <si>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</si>
  <si>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</si>
  <si>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</si>
  <si>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</si>
  <si>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</si>
  <si>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</si>
  <si>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</si>
  <si>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</si>
  <si>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</si>
  <si>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</si>
  <si>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</si>
  <si>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</si>
  <si>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</si>
  <si>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</si>
  <si>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</si>
  <si>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</si>
  <si>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</si>
  <si>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</si>
  <si>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</si>
  <si>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</si>
  <si>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</si>
  <si>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</si>
  <si>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</si>
  <si>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</si>
  <si>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</si>
  <si>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</si>
  <si>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</si>
  <si>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</si>
  <si>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</si>
  <si>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</si>
  <si>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</si>
  <si>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</si>
  <si>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</si>
  <si>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</si>
  <si>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</si>
  <si>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</si>
  <si>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</si>
  <si>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</si>
  <si>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</si>
  <si>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</si>
  <si>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</si>
  <si>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</si>
  <si>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</si>
  <si>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</si>
  <si>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</si>
  <si>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</si>
  <si>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</si>
  <si>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</si>
  <si>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</si>
  <si>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</si>
  <si>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</si>
  <si>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</si>
  <si>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</si>
  <si>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</si>
  <si>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</si>
  <si>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</si>
  <si>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</si>
  <si>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</si>
  <si>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</si>
  <si>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</si>
  <si>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</si>
  <si>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</si>
  <si>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</si>
  <si>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</si>
  <si>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</si>
  <si>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</si>
  <si>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</si>
  <si>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</si>
  <si>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</si>
  <si>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</si>
  <si>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</si>
  <si>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</si>
  <si>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</si>
  <si>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</si>
  <si>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</si>
  <si>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</si>
  <si>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</si>
  <si>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</si>
  <si>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</si>
  <si>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</si>
  <si>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</si>
  <si>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</si>
  <si>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</si>
  <si>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</si>
  <si>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</si>
  <si>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</si>
  <si>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</si>
  <si>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</si>
  <si>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</si>
  <si>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</si>
  <si>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</si>
  <si>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</si>
  <si>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</si>
  <si>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</si>
  <si>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</si>
  <si>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</si>
  <si>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</si>
  <si>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</si>
  <si>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</si>
  <si>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</si>
  <si>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</si>
  <si>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</si>
  <si>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</si>
  <si>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</si>
  <si>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</si>
  <si>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</si>
  <si>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</si>
  <si>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</si>
  <si>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</si>
  <si>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</si>
  <si>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</si>
  <si>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</si>
  <si>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</si>
  <si>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</si>
  <si>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</si>
  <si>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</si>
  <si>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</si>
  <si>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</si>
  <si>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</si>
  <si>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</si>
  <si>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</si>
  <si>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</si>
  <si>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</si>
  <si>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</si>
  <si>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</si>
  <si>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</si>
  <si>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</si>
  <si>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</si>
  <si>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</si>
  <si>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</si>
  <si>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</si>
  <si>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</si>
  <si>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</si>
  <si>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</si>
  <si>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</si>
  <si>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</si>
  <si>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</si>
  <si>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</si>
  <si>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</si>
  <si>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</si>
  <si>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</si>
  <si>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</si>
  <si>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</si>
  <si>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</si>
  <si>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</si>
  <si>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</si>
  <si>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</si>
  <si>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</si>
  <si>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</si>
  <si>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</si>
  <si>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</si>
  <si>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</si>
  <si>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</si>
  <si>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</si>
  <si>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</si>
  <si>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</si>
  <si>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</si>
  <si>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</si>
  <si>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</si>
  <si>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</si>
  <si>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</si>
  <si>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</si>
  <si>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</si>
  <si>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</si>
  <si>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</si>
  <si>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</si>
  <si>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</si>
  <si>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</si>
  <si>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</si>
  <si>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</si>
  <si>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</si>
  <si>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</si>
  <si>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</si>
  <si>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</si>
  <si>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</si>
  <si>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</si>
  <si>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</si>
  <si>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</si>
  <si>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</si>
  <si>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</si>
  <si>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</si>
  <si>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</si>
  <si>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</si>
  <si>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</si>
  <si>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</si>
  <si>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</si>
  <si>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</si>
  <si>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</si>
  <si>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</si>
  <si>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</si>
  <si>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</si>
  <si>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</si>
  <si>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</si>
  <si>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</si>
  <si>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</si>
  <si>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</si>
  <si>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</si>
  <si>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</si>
  <si>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</si>
  <si>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</si>
  <si>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</si>
  <si>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</si>
  <si>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</si>
  <si>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</si>
  <si>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</si>
  <si>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</si>
  <si>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</si>
  <si>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</si>
  <si>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</si>
  <si>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</si>
  <si>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</si>
  <si>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</si>
  <si>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</si>
  <si>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</si>
  <si>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</si>
  <si>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</si>
  <si>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</si>
  <si>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</si>
  <si>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</si>
  <si>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</si>
  <si>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</si>
  <si>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</si>
  <si>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</si>
  <si>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</si>
  <si>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</si>
  <si>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</si>
  <si>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</si>
  <si>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</si>
  <si>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</si>
  <si>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</si>
  <si>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</si>
  <si>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</si>
  <si>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</si>
  <si>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</si>
  <si>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</si>
  <si>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</si>
  <si>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</si>
  <si>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</si>
  <si>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</si>
  <si>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</si>
  <si>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</si>
  <si>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</si>
  <si>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</si>
  <si>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</si>
  <si>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</si>
  <si>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</si>
  <si>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</si>
  <si>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</si>
  <si>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</si>
  <si>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</si>
  <si>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</si>
  <si>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</si>
  <si>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</si>
  <si>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</si>
  <si>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</si>
  <si>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</si>
  <si>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</si>
  <si>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</si>
  <si>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</si>
  <si>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</si>
  <si>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</si>
  <si>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</si>
  <si>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</si>
  <si>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</si>
  <si>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</si>
  <si>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</si>
  <si>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</si>
  <si>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</si>
  <si>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</si>
  <si>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</si>
  <si>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</si>
  <si>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</si>
  <si>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</si>
  <si>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</si>
  <si>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</si>
  <si>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</si>
  <si>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</si>
  <si>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</si>
  <si>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</si>
  <si>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</si>
  <si>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</si>
  <si>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</si>
  <si>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</si>
  <si>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</si>
  <si>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</si>
  <si>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</si>
  <si>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</si>
  <si>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</si>
  <si>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</si>
  <si>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</si>
  <si>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</si>
  <si>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</si>
  <si>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</si>
  <si>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</si>
  <si>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</si>
  <si>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</si>
  <si>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</si>
  <si>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</si>
  <si>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</si>
  <si>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</si>
  <si>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</si>
  <si>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</si>
  <si>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</si>
  <si>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</si>
  <si>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</si>
  <si>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</si>
  <si>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</si>
  <si>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</si>
  <si>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</si>
  <si>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</si>
  <si>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</si>
  <si>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</si>
  <si>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</si>
  <si>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</si>
  <si>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</si>
  <si>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</si>
  <si>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</si>
  <si>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</si>
  <si>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</si>
  <si>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</si>
  <si>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</si>
  <si>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</si>
  <si>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</si>
  <si>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</si>
  <si>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</si>
  <si>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</si>
  <si>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</si>
  <si>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</si>
  <si>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</si>
  <si>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</si>
  <si>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</si>
  <si>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</si>
  <si>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</si>
  <si>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</si>
  <si>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</si>
  <si>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</si>
  <si>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</si>
  <si>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</si>
  <si>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</si>
  <si>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</si>
  <si>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</si>
  <si>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</si>
  <si>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</si>
  <si>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</si>
  <si>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</si>
  <si>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</si>
  <si>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</si>
  <si>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</si>
  <si>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</si>
  <si>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</si>
  <si>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</si>
  <si>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</si>
  <si>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</si>
  <si>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</si>
  <si>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</si>
  <si>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</si>
  <si>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</si>
  <si>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</si>
  <si>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</si>
  <si>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</si>
  <si>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</si>
  <si>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</si>
  <si>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</si>
  <si>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</si>
  <si>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</si>
  <si>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</si>
  <si>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</si>
  <si>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</si>
  <si>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</si>
  <si>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</si>
  <si>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</si>
  <si>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</si>
  <si>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</si>
  <si>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</si>
  <si>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</si>
  <si>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</si>
  <si>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</si>
  <si>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</si>
  <si>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</si>
  <si>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</si>
  <si>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</si>
  <si>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</si>
  <si>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</si>
  <si>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</si>
  <si>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</si>
  <si>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</si>
  <si>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</si>
  <si>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</si>
  <si>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</si>
  <si>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</si>
  <si>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</si>
  <si>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</si>
  <si>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</si>
  <si>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</si>
  <si>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</si>
  <si>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</si>
  <si>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</si>
  <si>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</si>
  <si>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</si>
  <si>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</si>
  <si>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</si>
  <si>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</si>
  <si>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</si>
  <si>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</si>
  <si>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</si>
  <si>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</si>
  <si>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</si>
  <si>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</si>
  <si>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</si>
  <si>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</si>
  <si>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</si>
  <si>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</si>
  <si>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</si>
  <si>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</si>
  <si>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</si>
  <si>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</si>
  <si>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</si>
  <si>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</si>
  <si>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</si>
  <si>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</si>
  <si>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</si>
  <si>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</si>
  <si>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</si>
  <si>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</si>
  <si>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</si>
  <si>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</si>
  <si>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</si>
  <si>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</si>
  <si>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</si>
  <si>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</si>
  <si>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</si>
  <si>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</si>
  <si>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</si>
  <si>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</si>
  <si>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</si>
  <si>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</si>
  <si>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</si>
  <si>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</si>
  <si>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</si>
  <si>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</si>
  <si>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</si>
  <si>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</si>
  <si>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</si>
  <si>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</si>
  <si>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</si>
  <si>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</si>
  <si>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</si>
  <si>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</si>
  <si>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</si>
  <si>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</si>
  <si>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</si>
  <si>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</si>
  <si>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</si>
  <si>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</si>
  <si>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</si>
  <si>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</si>
  <si>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</si>
  <si>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</si>
  <si>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</si>
  <si>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</si>
  <si>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</si>
  <si>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</si>
  <si>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</si>
  <si>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</si>
  <si>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</si>
  <si>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</si>
  <si>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</si>
  <si>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</si>
  <si>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</si>
  <si>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</si>
  <si>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</si>
  <si>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</si>
  <si>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</si>
  <si>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</si>
  <si>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</si>
  <si>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</si>
  <si>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</si>
  <si>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</si>
  <si>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</si>
  <si>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</si>
  <si>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</si>
  <si>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</si>
  <si>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</si>
  <si>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</si>
  <si>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</si>
  <si>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</si>
  <si>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</si>
  <si>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</si>
  <si>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</si>
  <si>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</si>
  <si>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</si>
  <si>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</si>
  <si>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</si>
  <si>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</si>
  <si>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</si>
  <si>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</si>
  <si>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</si>
  <si>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</si>
  <si>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</si>
  <si>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</si>
  <si>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</si>
  <si>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</si>
  <si>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</si>
  <si>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</si>
  <si>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</si>
  <si>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</si>
  <si>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</si>
  <si>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</si>
  <si>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</si>
  <si>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</si>
  <si>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</si>
  <si>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</si>
  <si>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</si>
  <si>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</si>
  <si>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</si>
  <si>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</si>
  <si>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</si>
  <si>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</si>
  <si>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</si>
  <si>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</si>
  <si>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</si>
  <si>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</si>
  <si>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</si>
  <si>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</si>
  <si>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</si>
  <si>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</si>
  <si>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</si>
  <si>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</si>
  <si>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</si>
  <si>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</si>
  <si>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</si>
  <si>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</si>
  <si>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</si>
  <si>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</si>
  <si>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</si>
  <si>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</si>
  <si>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</si>
  <si>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</si>
  <si>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</si>
  <si>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</si>
  <si>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</si>
  <si>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</si>
  <si>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</si>
  <si>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</si>
  <si>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</si>
  <si>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</si>
  <si>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</si>
  <si>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</si>
  <si>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</si>
  <si>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</si>
  <si>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</si>
  <si>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</si>
  <si>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</si>
  <si>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</si>
  <si>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</si>
  <si>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</si>
  <si>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</si>
  <si>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</si>
  <si>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</si>
  <si>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</si>
  <si>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</si>
  <si>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</si>
  <si>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</si>
  <si>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</si>
  <si>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</si>
  <si>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</si>
  <si>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</si>
  <si>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</si>
  <si>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</si>
  <si>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</si>
  <si>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</si>
  <si>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</si>
  <si>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</si>
  <si>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</si>
  <si>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</si>
  <si>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</si>
  <si>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</si>
  <si>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</si>
  <si>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</si>
  <si>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</si>
  <si>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</si>
  <si>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</si>
  <si>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</si>
  <si>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</si>
  <si>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</si>
  <si>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</si>
  <si>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</si>
  <si>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</si>
  <si>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</si>
  <si>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</si>
  <si>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</si>
  <si>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</si>
  <si>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</si>
  <si>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</si>
  <si>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</si>
  <si>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</si>
  <si>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</si>
  <si>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</si>
  <si>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</si>
  <si>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</si>
  <si>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</si>
  <si>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</si>
  <si>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</si>
  <si>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</si>
  <si>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</si>
  <si>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</si>
  <si>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</si>
  <si>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</si>
  <si>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</si>
  <si>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</si>
  <si>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</si>
  <si>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</si>
  <si>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</si>
  <si>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</si>
  <si>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</si>
  <si>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</si>
  <si>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</si>
  <si>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</si>
  <si>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</si>
  <si>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</si>
  <si>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</si>
  <si>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</si>
  <si>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</si>
  <si>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</si>
  <si>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</si>
  <si>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</si>
  <si>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</si>
  <si>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</si>
  <si>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</si>
  <si>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</si>
  <si>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</si>
  <si>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</si>
  <si>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</si>
  <si>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</si>
  <si>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</si>
  <si>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</si>
  <si>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</si>
  <si>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</si>
  <si>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</si>
  <si>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</si>
  <si>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</si>
  <si>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</si>
  <si>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</si>
  <si>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</si>
  <si>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</si>
  <si>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</si>
  <si>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</si>
  <si>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</si>
  <si>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</si>
  <si>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</si>
  <si>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</si>
  <si>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</si>
  <si>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</si>
  <si>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</si>
  <si>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</si>
  <si>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</si>
  <si>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</si>
  <si>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</si>
  <si>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</si>
  <si>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</si>
  <si>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</si>
  <si>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</si>
  <si>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</si>
  <si>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</si>
  <si>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</si>
  <si>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</si>
  <si>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</si>
  <si>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</si>
  <si>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</si>
  <si>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</si>
  <si>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</si>
  <si>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</si>
  <si>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</si>
  <si>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</si>
  <si>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</si>
  <si>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</si>
  <si>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</si>
  <si>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</si>
  <si>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</si>
  <si>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</si>
  <si>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</si>
  <si>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</si>
  <si>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</si>
  <si>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</si>
  <si>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</si>
  <si>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</si>
  <si>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</si>
  <si>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</si>
  <si>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</si>
  <si>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</si>
  <si>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</si>
  <si>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</si>
  <si>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</si>
  <si>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</si>
  <si>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</si>
  <si>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</si>
  <si>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</si>
  <si>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</si>
  <si>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</si>
  <si>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</si>
  <si>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</si>
  <si>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</si>
  <si>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</si>
  <si>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</si>
  <si>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</si>
  <si>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</si>
  <si>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</si>
  <si>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</si>
  <si>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</si>
  <si>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</si>
  <si>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</si>
  <si>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</si>
  <si>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</si>
  <si>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</si>
  <si>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</si>
  <si>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</si>
  <si>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</si>
  <si>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</si>
  <si>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</si>
  <si>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</si>
  <si>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</si>
  <si>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</si>
  <si>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</si>
  <si>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</si>
  <si>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</si>
  <si>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</si>
  <si>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</si>
  <si>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</si>
  <si>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</si>
  <si>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</si>
  <si>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</si>
  <si>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</si>
  <si>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</si>
  <si>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</si>
  <si>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</si>
  <si>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</si>
  <si>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</si>
  <si>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</si>
  <si>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</si>
  <si>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</si>
  <si>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</si>
  <si>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</si>
  <si>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</si>
  <si>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</si>
  <si>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</si>
  <si>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</si>
  <si>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</si>
  <si>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</si>
  <si>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</si>
  <si>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</si>
  <si>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</si>
  <si>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</si>
  <si>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</si>
  <si>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</si>
  <si>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</si>
  <si>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</si>
  <si>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</si>
  <si>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</si>
  <si>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</si>
  <si>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</si>
  <si>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</si>
  <si>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</si>
  <si>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</si>
  <si>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</si>
  <si>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</si>
  <si>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</si>
  <si>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</si>
  <si>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</si>
  <si>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</si>
  <si>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</si>
  <si>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</si>
  <si>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</si>
  <si>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</si>
  <si>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</si>
  <si>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</si>
  <si>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</si>
  <si>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</si>
  <si>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</si>
  <si>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</si>
  <si>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</si>
  <si>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</si>
  <si>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</si>
  <si>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</si>
  <si>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</si>
  <si>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</si>
  <si>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</si>
  <si>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</si>
  <si>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</si>
  <si>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</si>
  <si>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</si>
  <si>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</si>
  <si>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</si>
  <si>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</si>
  <si>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</si>
  <si>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</si>
  <si>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</si>
  <si>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</si>
  <si>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</si>
  <si>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</si>
  <si>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</si>
  <si>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</si>
  <si>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</si>
  <si>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</si>
  <si>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</si>
  <si>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</si>
  <si>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</si>
  <si>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</si>
  <si>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</si>
  <si>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</si>
  <si>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</si>
  <si>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</si>
  <si>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</si>
  <si>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</si>
  <si>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</si>
  <si>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</si>
  <si>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</si>
  <si>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</si>
  <si>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</si>
  <si>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</si>
  <si>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</si>
  <si>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</si>
  <si>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</si>
  <si>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</si>
  <si>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</si>
  <si>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</si>
  <si>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</si>
  <si>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</si>
  <si>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</si>
  <si>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</si>
  <si>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</si>
  <si>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</si>
  <si>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</si>
  <si>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</si>
  <si>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</si>
  <si>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</si>
  <si>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</si>
  <si>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</si>
  <si>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</si>
  <si>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</si>
  <si>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</si>
  <si>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</si>
  <si>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</si>
  <si>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</si>
  <si>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</si>
  <si>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</si>
  <si>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</si>
  <si>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</si>
  <si>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</si>
  <si>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</si>
  <si>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</si>
  <si>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</si>
  <si>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</si>
  <si>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</si>
  <si>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</si>
  <si>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</si>
  <si>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</si>
  <si>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</si>
  <si>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</si>
  <si>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</si>
  <si>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</si>
  <si>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</si>
  <si>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</si>
  <si>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</si>
  <si>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</si>
  <si>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</si>
  <si>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</si>
  <si>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</si>
  <si>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</si>
  <si>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</si>
  <si>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</si>
  <si>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</si>
  <si>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</si>
  <si>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</si>
  <si>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</si>
  <si>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</si>
  <si>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</si>
  <si>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</si>
  <si>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</si>
  <si>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</si>
  <si>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</si>
  <si>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</si>
  <si>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</si>
  <si>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</si>
  <si>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</si>
  <si>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</si>
  <si>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</si>
  <si>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</si>
  <si>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</si>
  <si>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</si>
  <si>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</si>
  <si>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</si>
  <si>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</si>
  <si>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</si>
  <si>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</si>
  <si>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</si>
  <si>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</si>
  <si>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</si>
  <si>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</si>
  <si>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</si>
  <si>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</si>
  <si>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</si>
  <si>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</si>
  <si>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</si>
  <si>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</si>
  <si>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</si>
  <si>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</si>
  <si>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</si>
  <si>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</si>
  <si>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</si>
  <si>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</si>
  <si>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</si>
  <si>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</si>
  <si>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</si>
  <si>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</si>
  <si>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</si>
  <si>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</si>
  <si>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</si>
  <si>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</si>
  <si>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</si>
  <si>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</si>
  <si>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</si>
  <si>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</si>
  <si>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</si>
  <si>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</si>
  <si>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</si>
  <si>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</si>
  <si>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</si>
  <si>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</si>
  <si>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</si>
  <si>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</si>
  <si>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</si>
  <si>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</si>
  <si>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</si>
  <si>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</si>
  <si>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</si>
  <si>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</si>
  <si>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</si>
  <si>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</si>
  <si>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</si>
  <si>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</si>
  <si>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</si>
  <si>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</si>
  <si>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</si>
  <si>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</si>
  <si>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</si>
  <si>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</si>
  <si>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</si>
  <si>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</si>
  <si>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</si>
  <si>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</si>
  <si>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</si>
  <si>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</si>
  <si>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</si>
  <si>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</si>
  <si>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</si>
  <si>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</si>
  <si>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</si>
  <si>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</si>
  <si>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</si>
  <si>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</si>
  <si>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</si>
  <si>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</si>
  <si>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</si>
  <si>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</si>
  <si>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</si>
  <si>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</si>
  <si>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</si>
  <si>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</si>
  <si>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</si>
  <si>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</si>
  <si>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</si>
  <si>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</si>
  <si>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</si>
  <si>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</si>
  <si>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</si>
  <si>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</si>
  <si>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</si>
  <si>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</si>
  <si>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</si>
  <si>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</si>
  <si>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</si>
  <si>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</si>
  <si>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</si>
  <si>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</si>
  <si>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</si>
  <si>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</si>
  <si>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</si>
  <si>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</si>
  <si>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</si>
  <si>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</si>
  <si>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</si>
  <si>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</si>
  <si>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</si>
  <si>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</si>
  <si>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</si>
  <si>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</si>
  <si>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</si>
  <si>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</si>
  <si>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</si>
  <si>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</si>
  <si>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</si>
  <si>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</si>
  <si>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</si>
  <si>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</si>
  <si>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</si>
  <si>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</si>
  <si>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</si>
  <si>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</si>
  <si>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</si>
  <si>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</si>
  <si>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</si>
  <si>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</si>
  <si>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</si>
  <si>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</si>
  <si>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</si>
  <si>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</si>
  <si>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</si>
  <si>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</si>
  <si>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</si>
  <si>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</si>
  <si>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</si>
  <si>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</si>
  <si>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</si>
  <si>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</si>
  <si>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</si>
  <si>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</si>
  <si>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</si>
  <si>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</si>
  <si>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</si>
  <si>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</si>
  <si>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</si>
  <si>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</si>
  <si>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</si>
  <si>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</si>
  <si>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</si>
  <si>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</si>
  <si>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</si>
  <si>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</si>
  <si>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</si>
  <si>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</si>
  <si>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</si>
  <si>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</si>
  <si>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</si>
  <si>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</si>
  <si>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</si>
  <si>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</si>
  <si>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</si>
  <si>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</si>
  <si>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</si>
  <si>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</si>
  <si>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</si>
  <si>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</si>
  <si>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</si>
  <si>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</si>
  <si>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</si>
  <si>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</si>
  <si>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</si>
  <si>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</si>
  <si>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</si>
  <si>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</si>
  <si>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</si>
  <si>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</si>
  <si>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</si>
  <si>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</si>
  <si>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</si>
  <si>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</si>
  <si>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</si>
  <si>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</si>
  <si>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</si>
  <si>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</si>
  <si>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</si>
  <si>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</si>
  <si>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</si>
  <si>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</si>
  <si>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</si>
  <si>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</si>
  <si>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</si>
  <si>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</si>
  <si>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</si>
  <si>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</si>
  <si>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</si>
  <si>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</si>
  <si>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</si>
  <si>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</si>
  <si>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</si>
  <si>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</si>
  <si>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</si>
  <si>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</si>
  <si>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</si>
  <si>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</si>
  <si>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</si>
  <si>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</si>
  <si>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</si>
  <si>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</si>
  <si>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</si>
  <si>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</si>
  <si>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</si>
  <si>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</si>
  <si>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</si>
  <si>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</si>
  <si>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</si>
  <si>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</si>
  <si>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</si>
  <si>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</si>
  <si>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</si>
  <si>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</si>
  <si>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</si>
  <si>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</si>
  <si>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</si>
  <si>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</si>
  <si>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</si>
  <si>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</si>
  <si>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</si>
  <si>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</si>
  <si>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</si>
  <si>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</si>
  <si>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</si>
  <si>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</si>
  <si>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</si>
  <si>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</si>
  <si>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</si>
  <si>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</si>
  <si>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</si>
  <si>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</si>
  <si>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</si>
  <si>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</si>
  <si>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</si>
  <si>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</si>
  <si>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</si>
  <si>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</si>
  <si>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</si>
  <si>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</si>
  <si>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</si>
  <si>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</si>
  <si>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</si>
  <si>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</si>
  <si>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</si>
  <si>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</si>
  <si>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</si>
  <si>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</si>
  <si>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</si>
  <si>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</si>
  <si>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</si>
  <si>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</si>
  <si>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</si>
  <si>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</si>
  <si>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</si>
  <si>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</si>
  <si>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</si>
  <si>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</si>
  <si>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</si>
  <si>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</si>
  <si>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</si>
  <si>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</si>
  <si>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</si>
  <si>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</si>
  <si>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</si>
  <si>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</si>
  <si>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</si>
  <si>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</si>
  <si>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</si>
  <si>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</si>
  <si>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</si>
  <si>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</si>
  <si>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</si>
  <si>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</si>
  <si>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</si>
  <si>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</si>
  <si>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</si>
  <si>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</si>
  <si>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</si>
  <si>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</si>
  <si>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</si>
  <si>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</si>
  <si>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</si>
  <si>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</si>
  <si>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</si>
  <si>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</si>
  <si>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</si>
  <si>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</si>
  <si>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</si>
  <si>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</si>
  <si>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</si>
  <si>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</si>
  <si>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</si>
  <si>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</si>
  <si>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</si>
  <si>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</si>
  <si>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</si>
  <si>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</si>
  <si>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</si>
  <si>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</si>
  <si>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</si>
  <si>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</si>
  <si>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</si>
  <si>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</si>
  <si>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</si>
  <si>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</si>
  <si>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</si>
  <si>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</si>
  <si>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</si>
  <si>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</si>
  <si>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</si>
  <si>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</si>
  <si>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</si>
  <si>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</si>
  <si>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</si>
  <si>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</si>
  <si>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</si>
  <si>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</si>
  <si>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</si>
  <si>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</si>
  <si>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</si>
  <si>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</si>
  <si>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</si>
  <si>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</si>
  <si>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</si>
  <si>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</si>
  <si>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</si>
  <si>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</si>
  <si>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</si>
  <si>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</si>
  <si>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</si>
  <si>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</si>
  <si>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</si>
  <si>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</si>
  <si>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</si>
  <si>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</si>
  <si>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</si>
  <si>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</si>
  <si>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</si>
  <si>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</si>
  <si>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</si>
  <si>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</si>
  <si>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</si>
  <si>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</si>
  <si>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</si>
  <si>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</si>
  <si>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</si>
  <si>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</si>
  <si>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</si>
  <si>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</si>
  <si>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</si>
  <si>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</si>
  <si>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</si>
  <si>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</si>
  <si>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</si>
  <si>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</si>
  <si>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</si>
  <si>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</si>
  <si>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</si>
  <si>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</si>
  <si>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</si>
  <si>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</si>
  <si>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</si>
  <si>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</si>
  <si>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</si>
  <si>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</si>
  <si>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</si>
  <si>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</si>
  <si>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</si>
  <si>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</si>
  <si>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</si>
  <si>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</si>
  <si>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</si>
  <si>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</si>
  <si>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</si>
  <si>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</si>
  <si>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</si>
  <si>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</si>
  <si>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</si>
  <si>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</si>
  <si>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</si>
  <si>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</si>
  <si>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</si>
  <si>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</si>
  <si>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</si>
  <si>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</si>
  <si>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</si>
  <si>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</si>
  <si>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</si>
  <si>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</si>
  <si>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</si>
  <si>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</si>
  <si>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</si>
  <si>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</si>
  <si>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</si>
  <si>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</si>
  <si>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</si>
  <si>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</si>
  <si>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</si>
  <si>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</si>
  <si>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</si>
  <si>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</si>
  <si>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</si>
  <si>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</si>
  <si>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</si>
  <si>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</si>
  <si>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</si>
  <si>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</si>
  <si>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</si>
  <si>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</si>
  <si>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</si>
  <si>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</si>
  <si>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</si>
  <si>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</si>
  <si>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</si>
  <si>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</si>
  <si>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</si>
  <si>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</si>
  <si>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</si>
  <si>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</si>
  <si>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</si>
  <si>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</si>
  <si>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</si>
  <si>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</si>
  <si>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</si>
  <si>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</si>
  <si>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</si>
  <si>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</si>
  <si>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</si>
  <si>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</si>
  <si>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</si>
  <si>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</si>
  <si>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</si>
  <si>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</si>
  <si>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</si>
  <si>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</si>
  <si>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</si>
  <si>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</si>
  <si>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</si>
  <si>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</si>
  <si>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</si>
  <si>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</si>
  <si>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</si>
  <si>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</si>
  <si>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</si>
  <si>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</si>
  <si>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</si>
  <si>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</si>
  <si>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</si>
  <si>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</si>
  <si>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</si>
  <si>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</si>
  <si>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</si>
  <si>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</si>
  <si>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</si>
  <si>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</si>
  <si>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</si>
  <si>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</si>
  <si>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</si>
  <si>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</si>
  <si>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</si>
  <si>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</si>
  <si>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</si>
  <si>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</si>
  <si>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</si>
  <si>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</si>
  <si>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</si>
  <si>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</si>
  <si>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</si>
  <si>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</si>
  <si>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</si>
  <si>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</si>
  <si>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</si>
  <si>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</si>
  <si>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</si>
  <si>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</si>
  <si>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</si>
  <si>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</si>
  <si>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</si>
  <si>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</si>
  <si>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</si>
  <si>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</si>
  <si>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</si>
  <si>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</si>
  <si>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</si>
  <si>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</si>
  <si>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</si>
  <si>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</si>
  <si>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</si>
  <si>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</si>
  <si>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</si>
  <si>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</si>
  <si>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</si>
  <si>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</si>
  <si>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</si>
  <si>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</si>
  <si>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</si>
  <si>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</si>
  <si>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</si>
  <si>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</si>
  <si>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</si>
  <si>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</si>
  <si>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</si>
  <si>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</si>
  <si>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</si>
  <si>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</si>
  <si>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</si>
  <si>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</si>
  <si>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</si>
  <si>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</si>
  <si>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</si>
  <si>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</si>
  <si>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</si>
  <si>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</si>
  <si>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</si>
  <si>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</si>
  <si>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</si>
  <si>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</si>
  <si>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</si>
  <si>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</si>
  <si>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</si>
  <si>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</si>
  <si>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</si>
  <si>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</si>
  <si>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</si>
  <si>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</si>
  <si>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</si>
  <si>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</si>
  <si>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</si>
  <si>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</si>
  <si>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</si>
  <si>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</si>
  <si>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</si>
  <si>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</si>
  <si>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</si>
  <si>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</si>
  <si>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</si>
  <si>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</si>
  <si>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</si>
  <si>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</si>
  <si>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</si>
  <si>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</si>
  <si>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</si>
  <si>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</si>
  <si>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</si>
  <si>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</si>
  <si>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</si>
  <si>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</si>
  <si>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</si>
  <si>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</si>
  <si>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</si>
  <si>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</si>
  <si>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</si>
  <si>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</si>
  <si>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</si>
  <si>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</si>
  <si>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</si>
  <si>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</si>
  <si>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</si>
  <si>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</si>
  <si>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</si>
  <si>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</si>
  <si>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</si>
  <si>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</si>
  <si>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</si>
  <si>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</si>
  <si>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</si>
  <si>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</si>
  <si>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</si>
  <si>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</si>
  <si>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</si>
  <si>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</si>
  <si>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</si>
  <si>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</si>
  <si>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</si>
  <si>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</si>
  <si>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</si>
  <si>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</si>
  <si>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</si>
  <si>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</si>
  <si>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</si>
  <si>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</si>
  <si>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</si>
  <si>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</si>
  <si>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</si>
  <si>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</si>
  <si>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</si>
  <si>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</si>
  <si>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</si>
  <si>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</si>
  <si>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</si>
  <si>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</si>
  <si>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</si>
  <si>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</si>
  <si>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</si>
  <si>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</si>
  <si>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</si>
  <si>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</si>
  <si>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</si>
  <si>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</si>
  <si>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</si>
  <si>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</si>
  <si>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</si>
  <si>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</si>
  <si>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</si>
  <si>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</si>
  <si>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</si>
  <si>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</si>
  <si>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</si>
  <si>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</si>
  <si>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</si>
  <si>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</si>
  <si>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</si>
  <si>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</si>
  <si>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</si>
  <si>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</si>
  <si>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</si>
  <si>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</si>
  <si>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</si>
  <si>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</si>
  <si>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</si>
  <si>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</si>
  <si>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</si>
  <si>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</si>
  <si>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</si>
  <si>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</si>
  <si>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</si>
  <si>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</si>
  <si>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</si>
  <si>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</si>
  <si>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</si>
  <si>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</si>
  <si>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</si>
  <si>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</si>
  <si>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</si>
  <si>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</si>
  <si>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</si>
  <si>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</si>
  <si>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</si>
  <si>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</si>
  <si>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</si>
  <si>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</si>
  <si>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</si>
  <si>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</si>
  <si>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</si>
  <si>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</si>
  <si>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</si>
  <si>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</si>
  <si>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</si>
  <si>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</si>
  <si>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</si>
  <si>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</si>
  <si>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</si>
  <si>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</si>
  <si>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</si>
  <si>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</si>
  <si>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</si>
  <si>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</si>
  <si>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</si>
  <si>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</si>
  <si>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</si>
  <si>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</si>
  <si>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</si>
  <si>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</si>
  <si>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</si>
  <si>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</si>
  <si>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</si>
  <si>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</si>
  <si>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</si>
  <si>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</si>
  <si>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</si>
  <si>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</si>
  <si>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</si>
  <si>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</si>
  <si>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</si>
  <si>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</si>
  <si>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</si>
  <si>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</si>
  <si>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</si>
  <si>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</si>
  <si>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</si>
  <si>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</si>
  <si>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</si>
  <si>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</si>
  <si>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</si>
  <si>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</si>
  <si>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</si>
  <si>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</si>
  <si>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</si>
  <si>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</si>
  <si>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</si>
  <si>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</si>
  <si>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</si>
  <si>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</si>
  <si>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</si>
  <si>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</si>
  <si>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</si>
  <si>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</si>
  <si>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</si>
  <si>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</si>
  <si>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</si>
  <si>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</si>
  <si>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</si>
  <si>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</si>
  <si>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</si>
  <si>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</si>
  <si>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</si>
  <si>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</si>
  <si>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</si>
  <si>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</si>
  <si>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</si>
  <si>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</si>
  <si>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</si>
  <si>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</si>
  <si>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</si>
  <si>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</si>
  <si>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</si>
  <si>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</si>
  <si>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</si>
  <si>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</si>
  <si>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</si>
  <si>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</si>
  <si>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</si>
  <si>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</si>
  <si>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</si>
  <si>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</si>
  <si>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</si>
  <si>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</si>
  <si>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</si>
  <si>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</si>
  <si>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</si>
  <si>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</si>
  <si>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</si>
  <si>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</si>
  <si>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</si>
  <si>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</si>
  <si>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</si>
  <si>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</si>
  <si>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</si>
  <si>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</si>
  <si>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</si>
  <si>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</si>
  <si>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</si>
  <si>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</si>
  <si>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</si>
  <si>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</si>
  <si>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</si>
  <si>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</si>
  <si>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</si>
  <si>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</si>
  <si>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</si>
  <si>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</si>
  <si>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</si>
  <si>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</si>
  <si>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</si>
  <si>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</si>
  <si>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</si>
  <si>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</si>
  <si>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</si>
  <si>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</si>
  <si>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</si>
  <si>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</si>
  <si>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</si>
  <si>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</si>
  <si>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</si>
  <si>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</si>
  <si>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</si>
  <si>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</si>
  <si>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</si>
  <si>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</si>
  <si>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</si>
  <si>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</si>
  <si>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</si>
  <si>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</si>
  <si>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</si>
  <si>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</si>
  <si>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</si>
  <si>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</si>
  <si>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</si>
  <si>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</si>
  <si>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</si>
  <si>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</si>
  <si>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</si>
  <si>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</si>
  <si>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</si>
  <si>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</si>
  <si>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</si>
  <si>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</si>
  <si>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</si>
  <si>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</si>
  <si>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</si>
  <si>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</si>
  <si>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</si>
  <si>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</si>
  <si>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</si>
  <si>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</si>
  <si>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</si>
  <si>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</si>
  <si>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</si>
  <si>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</si>
  <si>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</si>
  <si>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</si>
  <si>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</si>
  <si>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</si>
  <si>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</si>
  <si>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</si>
  <si>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</si>
  <si>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</si>
  <si>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</si>
  <si>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</si>
  <si>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</si>
  <si>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</si>
  <si>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</si>
  <si>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</si>
  <si>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</si>
  <si>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</si>
  <si>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</si>
  <si>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</si>
  <si>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</si>
  <si>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</si>
  <si>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</si>
  <si>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</si>
  <si>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</si>
  <si>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</si>
  <si>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</si>
  <si>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</si>
  <si>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</si>
  <si>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</si>
  <si>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</si>
  <si>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</si>
  <si>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</si>
  <si>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</si>
  <si>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</si>
  <si>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</si>
  <si>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</si>
  <si>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</si>
  <si>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</si>
  <si>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</si>
  <si>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</si>
  <si>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</si>
  <si>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</si>
  <si>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</si>
  <si>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</si>
  <si>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</si>
  <si>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</si>
  <si>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</si>
  <si>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</si>
  <si>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</si>
  <si>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</si>
  <si>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</si>
  <si>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</si>
  <si>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</si>
  <si>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</si>
  <si>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</si>
  <si>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</si>
  <si>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</si>
  <si>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</si>
  <si>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</si>
  <si>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</si>
  <si>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</si>
  <si>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</si>
  <si>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</si>
  <si>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</si>
  <si>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</si>
  <si>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</si>
  <si>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</si>
  <si>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</si>
  <si>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</si>
  <si>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</si>
  <si>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</si>
  <si>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</si>
  <si>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</si>
  <si>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</si>
  <si>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</si>
  <si>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</si>
  <si>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</si>
  <si>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</si>
  <si>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</si>
  <si>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</si>
  <si>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</si>
  <si>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</si>
  <si>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</si>
  <si>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</si>
  <si>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</si>
  <si>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</si>
  <si>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</si>
  <si>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</si>
  <si>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</si>
  <si>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</si>
  <si>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</si>
  <si>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</si>
  <si>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</si>
  <si>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</si>
  <si>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</si>
  <si>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</si>
  <si>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</si>
  <si>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</si>
  <si>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</si>
  <si>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</si>
  <si>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</si>
  <si>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</si>
  <si>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</si>
  <si>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</si>
  <si>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</si>
  <si>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</si>
  <si>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</si>
  <si>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</si>
  <si>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</si>
  <si>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</si>
  <si>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</si>
  <si>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</si>
  <si>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</si>
  <si>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</si>
  <si>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</si>
  <si>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</si>
  <si>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</si>
  <si>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</si>
  <si>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</si>
  <si>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</si>
  <si>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</si>
  <si>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</si>
  <si>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</si>
  <si>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</si>
  <si>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</si>
  <si>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</si>
  <si>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</si>
  <si>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</si>
  <si>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</si>
  <si>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</si>
  <si>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</si>
  <si>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</si>
  <si>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</si>
  <si>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</si>
  <si>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</si>
  <si>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</si>
  <si>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</si>
  <si>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</si>
  <si>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</si>
  <si>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</si>
  <si>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</si>
  <si>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</si>
  <si>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</si>
  <si>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</si>
  <si>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</si>
  <si>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</si>
  <si>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</si>
  <si>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</si>
  <si>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</si>
  <si>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</si>
  <si>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</si>
  <si>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</si>
  <si>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</si>
  <si>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</si>
  <si>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</si>
  <si>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</si>
  <si>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</si>
  <si>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</si>
  <si>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</si>
  <si>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</si>
  <si>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</si>
  <si>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</si>
  <si>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</si>
  <si>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</si>
  <si>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</si>
  <si>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</si>
  <si>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</si>
  <si>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</si>
  <si>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</si>
  <si>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</si>
  <si>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</si>
  <si>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</si>
  <si>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</si>
  <si>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</si>
  <si>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</si>
  <si>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</si>
  <si>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</si>
  <si>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</si>
  <si>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</si>
  <si>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</si>
  <si>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</si>
  <si>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</si>
  <si>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</si>
  <si>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</si>
  <si>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</si>
  <si>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</si>
  <si>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</si>
  <si>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</si>
  <si>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</si>
  <si>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</si>
  <si>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</si>
  <si>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</si>
  <si>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</si>
  <si>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</si>
  <si>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</si>
  <si>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</si>
  <si>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</si>
  <si>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</si>
  <si>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</si>
  <si>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</si>
  <si>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</si>
  <si>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</si>
  <si>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</si>
  <si>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</si>
  <si>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</si>
  <si>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</si>
  <si>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</si>
  <si>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</si>
  <si>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</si>
  <si>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</si>
  <si>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</si>
  <si>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</si>
  <si>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</si>
  <si>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</si>
  <si>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</si>
  <si>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</si>
  <si>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</si>
  <si>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</si>
  <si>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</si>
  <si>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</si>
  <si>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</si>
  <si>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</si>
  <si>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</si>
  <si>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</si>
  <si>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</si>
  <si>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</si>
  <si>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</si>
  <si>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</si>
  <si>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</si>
  <si>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</si>
  <si>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</si>
  <si>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</si>
  <si>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</si>
  <si>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</si>
  <si>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</si>
  <si>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</si>
  <si>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</si>
  <si>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</si>
  <si>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</si>
  <si>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</si>
  <si>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</si>
  <si>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</si>
  <si>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</si>
  <si>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</si>
  <si>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</si>
  <si>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</si>
  <si>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</si>
  <si>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</si>
  <si>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</si>
  <si>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</si>
  <si>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</si>
  <si>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</si>
  <si>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</si>
  <si>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</si>
  <si>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</si>
  <si>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</si>
  <si>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</si>
  <si>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</si>
  <si>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</si>
  <si>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</si>
  <si>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</si>
  <si>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</si>
  <si>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</si>
  <si>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</si>
  <si>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</si>
  <si>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</si>
  <si>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</si>
  <si>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</si>
  <si>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</si>
  <si>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</si>
  <si>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</si>
  <si>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</si>
  <si>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</si>
  <si>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</si>
  <si>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</si>
  <si>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</si>
  <si>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</si>
  <si>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</si>
  <si>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</si>
  <si>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</si>
  <si>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</si>
  <si>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</si>
  <si>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</si>
  <si>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</si>
  <si>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</si>
  <si>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</si>
  <si>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</si>
  <si>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</si>
  <si>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</si>
  <si>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</si>
  <si>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</si>
  <si>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</si>
  <si>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</si>
  <si>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</si>
  <si>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</si>
  <si>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</si>
  <si>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</si>
  <si>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</si>
  <si>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</si>
  <si>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</si>
  <si>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</si>
  <si>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</si>
  <si>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</si>
  <si>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</si>
  <si>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</si>
  <si>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</si>
  <si>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</si>
  <si>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</si>
  <si>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</si>
  <si>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</si>
  <si>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</si>
  <si>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</si>
  <si>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</si>
  <si>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</si>
  <si>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</si>
  <si>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</si>
  <si>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</si>
  <si>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</si>
  <si>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</si>
  <si>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</si>
  <si>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</si>
  <si>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</si>
  <si>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</si>
  <si>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</si>
  <si>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</si>
  <si>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</si>
  <si>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</si>
  <si>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</si>
  <si>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</si>
  <si>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</si>
  <si>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</si>
  <si>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</si>
  <si>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</si>
  <si>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</si>
  <si>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</si>
  <si>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</si>
  <si>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</si>
  <si>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</si>
  <si>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</si>
  <si>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</si>
  <si>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</si>
  <si>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</si>
  <si>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</si>
  <si>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</si>
  <si>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</si>
  <si>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</si>
  <si>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</si>
  <si>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</si>
  <si>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</si>
  <si>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</si>
  <si>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</si>
  <si>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</si>
  <si>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</si>
  <si>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</si>
  <si>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</si>
  <si>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</si>
  <si>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</si>
  <si>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</si>
  <si>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</si>
  <si>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</si>
  <si>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</si>
  <si>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</si>
  <si>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</si>
  <si>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</si>
  <si>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</si>
  <si>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</si>
  <si>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</si>
  <si>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</si>
  <si>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</si>
  <si>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</si>
  <si>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</si>
  <si>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</si>
  <si>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</si>
  <si>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</si>
  <si>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</si>
  <si>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</si>
  <si>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</si>
  <si>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</si>
  <si>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</si>
  <si>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</si>
  <si>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</si>
  <si>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</si>
  <si>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</si>
  <si>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</si>
  <si>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</si>
  <si>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</si>
  <si>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</si>
  <si>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</si>
  <si>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</si>
  <si>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</si>
  <si>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</si>
  <si>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</si>
  <si>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</si>
  <si>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</si>
  <si>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</si>
  <si>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</si>
  <si>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</si>
  <si>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</si>
  <si>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</si>
  <si>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</si>
  <si>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</si>
  <si>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</si>
  <si>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</si>
  <si>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</si>
  <si>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</si>
  <si>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</si>
  <si>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</si>
  <si>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</si>
  <si>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</si>
  <si>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</si>
  <si>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</si>
  <si>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</si>
  <si>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</si>
  <si>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</si>
  <si>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</si>
  <si>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</si>
  <si>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</si>
  <si>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</si>
  <si>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</si>
  <si>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</si>
  <si>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</si>
  <si>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</si>
  <si>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</si>
  <si>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</si>
  <si>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</si>
  <si>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</si>
  <si>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</si>
  <si>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</si>
  <si>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</si>
  <si>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</si>
  <si>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</si>
  <si>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</si>
  <si>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</si>
  <si>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</si>
  <si>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</si>
  <si>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</si>
  <si>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</si>
  <si>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</si>
  <si>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</si>
  <si>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</si>
  <si>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</si>
  <si>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</si>
  <si>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</si>
  <si>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</si>
  <si>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</si>
  <si>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</si>
  <si>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</si>
  <si>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</si>
  <si>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</si>
  <si>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</si>
  <si>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</si>
  <si>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</si>
  <si>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</si>
  <si>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</si>
  <si>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</si>
  <si>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</si>
  <si>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</si>
  <si>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</si>
  <si>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</si>
  <si>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</si>
  <si>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</si>
  <si>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</si>
  <si>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</si>
  <si>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</si>
  <si>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</si>
  <si>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</si>
  <si>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</si>
  <si>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</si>
  <si>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</si>
  <si>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</si>
  <si>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</si>
  <si>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</si>
  <si>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</si>
  <si>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</si>
  <si>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</si>
  <si>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</si>
  <si>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</si>
  <si>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</si>
  <si>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</si>
  <si>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</si>
  <si>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</si>
  <si>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</si>
  <si>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</si>
  <si>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</si>
  <si>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</si>
  <si>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</si>
  <si>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</si>
  <si>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</si>
  <si>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</si>
  <si>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</si>
  <si>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</si>
  <si>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</si>
  <si>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</si>
  <si>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</si>
  <si>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</si>
  <si>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</si>
  <si>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</si>
  <si>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</si>
  <si>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</si>
  <si>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</si>
  <si>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</si>
  <si>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</si>
  <si>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</si>
  <si>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</si>
  <si>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</si>
  <si>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</si>
  <si>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</si>
  <si>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</si>
  <si>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</si>
  <si>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</si>
  <si>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</si>
  <si>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</si>
  <si>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</si>
  <si>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</si>
  <si>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</si>
  <si>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</si>
  <si>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</si>
  <si>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</si>
  <si>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</si>
  <si>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</si>
  <si>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</si>
  <si>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</si>
  <si>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</si>
  <si>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</si>
  <si>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</si>
  <si>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</si>
  <si>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</si>
  <si>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</si>
  <si>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</si>
  <si>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</si>
  <si>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</si>
  <si>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</si>
  <si>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</si>
  <si>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</si>
  <si>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</si>
  <si>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</si>
  <si>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</si>
  <si>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</si>
  <si>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</si>
  <si>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</si>
  <si>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</si>
  <si>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</si>
  <si>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</si>
  <si>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</si>
  <si>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</si>
  <si>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</si>
  <si>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</si>
  <si>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</si>
  <si>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</si>
  <si>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</si>
  <si>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</si>
  <si>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</si>
  <si>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</si>
  <si>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</si>
  <si>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</si>
  <si>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</si>
  <si>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</si>
  <si>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</si>
  <si>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</si>
  <si>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</si>
  <si>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</si>
  <si>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</si>
  <si>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</si>
  <si>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</si>
  <si>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</si>
  <si>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</si>
  <si>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</si>
  <si>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</si>
  <si>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</si>
  <si>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</si>
  <si>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</si>
  <si>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</si>
  <si>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</si>
  <si>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</si>
  <si>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</si>
  <si>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</si>
  <si>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</si>
  <si>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</si>
  <si>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</si>
  <si>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</si>
  <si>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</si>
  <si>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</si>
  <si>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</si>
  <si>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</si>
  <si>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</si>
  <si>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</si>
  <si>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</si>
  <si>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</si>
  <si>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</si>
  <si>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</si>
  <si>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</si>
  <si>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</si>
  <si>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</si>
  <si>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</si>
  <si>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</si>
  <si>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</si>
  <si>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</si>
  <si>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</si>
  <si>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</si>
  <si>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</si>
  <si>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</si>
  <si>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</si>
  <si>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</si>
  <si>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</si>
  <si>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</si>
  <si>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</si>
  <si>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</si>
  <si>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</si>
  <si>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</si>
  <si>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</si>
  <si>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</si>
  <si>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</si>
  <si>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</si>
  <si>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</si>
  <si>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</si>
  <si>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</si>
  <si>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</si>
  <si>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</si>
  <si>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</si>
  <si>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</si>
  <si>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</si>
  <si>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</si>
  <si>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</si>
  <si>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</si>
  <si>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</si>
  <si>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</si>
  <si>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</si>
  <si>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</si>
  <si>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</si>
  <si>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</si>
  <si>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</si>
  <si>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</si>
  <si>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</si>
  <si>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</si>
  <si>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</si>
  <si>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</si>
  <si>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</si>
  <si>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</si>
  <si>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</si>
  <si>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</si>
  <si>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</si>
  <si>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</si>
  <si>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</si>
  <si>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</si>
  <si>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</si>
  <si>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</si>
  <si>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</si>
  <si>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</si>
  <si>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</si>
  <si>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</si>
  <si>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</si>
  <si>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</si>
  <si>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</si>
  <si>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</si>
  <si>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</si>
  <si>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</si>
  <si>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</si>
  <si>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</si>
  <si>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</si>
  <si>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</si>
  <si>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</si>
  <si>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</si>
  <si>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</si>
  <si>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</si>
  <si>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</si>
  <si>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</si>
  <si>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</si>
  <si>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</si>
  <si>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</si>
  <si>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</si>
  <si>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</si>
  <si>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</si>
  <si>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</si>
  <si>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</si>
  <si>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</si>
  <si>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</si>
  <si>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</si>
  <si>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</si>
  <si>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</si>
  <si>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</si>
  <si>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</si>
  <si>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</si>
  <si>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</si>
  <si>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</si>
  <si>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</si>
  <si>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</si>
  <si>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</si>
  <si>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</si>
  <si>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</si>
  <si>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</si>
  <si>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</si>
  <si>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</si>
  <si>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</si>
  <si>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</si>
  <si>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</si>
  <si>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</si>
  <si>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</si>
  <si>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</si>
  <si>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</si>
  <si>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</si>
  <si>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</si>
  <si>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</si>
  <si>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</si>
  <si>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</si>
  <si>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</si>
  <si>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</si>
  <si>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</si>
  <si>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</si>
  <si>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</si>
  <si>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</si>
  <si>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</si>
  <si>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</si>
  <si>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</si>
  <si>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</si>
  <si>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</si>
  <si>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</si>
  <si>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</si>
  <si>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</si>
  <si>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</si>
  <si>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</si>
  <si>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</si>
  <si>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</si>
  <si>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</si>
  <si>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</si>
  <si>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</si>
  <si>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</si>
  <si>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</si>
  <si>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</si>
  <si>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</si>
  <si>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</si>
  <si>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</si>
  <si>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</si>
  <si>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</si>
  <si>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</si>
  <si>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</si>
  <si>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</si>
  <si>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</si>
  <si>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</si>
  <si>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</si>
  <si>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</si>
  <si>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</si>
  <si>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</si>
  <si>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</si>
  <si>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</si>
  <si>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</si>
  <si>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</si>
  <si>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</si>
  <si>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</si>
  <si>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</si>
  <si>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</si>
  <si>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</si>
  <si>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</si>
  <si>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</si>
  <si>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</si>
  <si>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</si>
  <si>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</si>
  <si>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</si>
  <si>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</si>
  <si>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</si>
  <si>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</si>
  <si>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</si>
  <si>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</si>
  <si>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</si>
  <si>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</si>
  <si>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</si>
  <si>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</si>
  <si>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</si>
  <si>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</si>
  <si>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</si>
  <si>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</si>
  <si>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</si>
  <si>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</si>
  <si>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</si>
  <si>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</si>
  <si>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</si>
  <si>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</si>
  <si>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</si>
  <si>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</si>
  <si>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</si>
  <si>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</si>
  <si>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</si>
  <si>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</si>
  <si>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</si>
  <si>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</si>
  <si>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</si>
  <si>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</si>
  <si>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</si>
  <si>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</si>
  <si>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</si>
  <si>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</si>
  <si>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</si>
  <si>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</si>
  <si>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</si>
  <si>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</si>
  <si>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</si>
  <si>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</si>
  <si>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</si>
  <si>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</si>
  <si>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</si>
  <si>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</si>
  <si>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</si>
  <si>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</si>
  <si>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</si>
  <si>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</si>
  <si>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</si>
  <si>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</si>
  <si>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</si>
  <si>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</si>
  <si>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</si>
  <si>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</si>
  <si>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</si>
  <si>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</si>
  <si>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</si>
  <si>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</si>
  <si>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</si>
  <si>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</si>
  <si>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</si>
  <si>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</si>
  <si>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</si>
  <si>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</si>
  <si>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</si>
  <si>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</si>
  <si>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</si>
  <si>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</si>
  <si>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</si>
  <si>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</si>
  <si>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</si>
  <si>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</si>
  <si>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</si>
  <si>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</si>
  <si>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</si>
  <si>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</si>
  <si>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</si>
  <si>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</si>
  <si>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</si>
  <si>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</si>
  <si>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</si>
  <si>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</si>
  <si>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</si>
  <si>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</si>
  <si>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</si>
  <si>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</si>
  <si>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</si>
  <si>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</si>
  <si>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</si>
  <si>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</si>
  <si>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</si>
  <si>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</si>
  <si>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</si>
  <si>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</si>
  <si>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</si>
  <si>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</si>
  <si>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</si>
  <si>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</si>
  <si>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</si>
  <si>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</si>
  <si>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</si>
  <si>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</si>
  <si>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</si>
  <si>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</si>
  <si>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</si>
  <si>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</si>
  <si>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</si>
  <si>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</si>
  <si>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</si>
  <si>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</si>
  <si>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</si>
  <si>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</si>
  <si>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</si>
  <si>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</si>
  <si>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</si>
  <si>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</si>
  <si>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</si>
  <si>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</si>
  <si>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</si>
  <si>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</si>
  <si>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</si>
  <si>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</si>
  <si>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</si>
  <si>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</si>
  <si>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</si>
  <si>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</si>
  <si>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</si>
  <si>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</si>
  <si>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</si>
  <si>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</si>
  <si>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</si>
  <si>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</si>
  <si>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</si>
  <si>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</si>
  <si>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</si>
  <si>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</si>
  <si>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</si>
  <si>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</si>
  <si>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</si>
  <si>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</si>
  <si>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</si>
  <si>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</si>
  <si>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</si>
  <si>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</si>
  <si>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</si>
  <si>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</si>
  <si>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</si>
  <si>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</si>
  <si>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</si>
  <si>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</si>
  <si>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</si>
  <si>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</si>
  <si>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</si>
  <si>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</si>
  <si>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</si>
  <si>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</si>
  <si>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</si>
  <si>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</si>
  <si>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</si>
  <si>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</si>
  <si>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</si>
  <si>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</si>
  <si>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</si>
  <si>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</si>
  <si>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</si>
  <si>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</si>
  <si>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</si>
  <si>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</si>
  <si>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</si>
  <si>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</si>
  <si>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</si>
  <si>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</si>
  <si>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</si>
  <si>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</si>
  <si>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</si>
  <si>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</si>
  <si>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</si>
  <si>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</si>
  <si>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</si>
  <si>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</si>
  <si>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</si>
  <si>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</si>
  <si>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</si>
  <si>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</si>
  <si>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</si>
  <si>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</si>
  <si>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</si>
  <si>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</si>
  <si>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</si>
  <si>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</si>
  <si>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</si>
  <si>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</si>
  <si>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</si>
  <si>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</si>
  <si>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</si>
  <si>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</si>
  <si>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</si>
  <si>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</si>
  <si>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</si>
  <si>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</si>
  <si>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</si>
  <si>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</si>
  <si>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</si>
  <si>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</si>
  <si>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</si>
  <si>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</si>
  <si>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</si>
  <si>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</si>
  <si>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</si>
  <si>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</si>
  <si>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</si>
  <si>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</si>
  <si>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</si>
  <si>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</si>
  <si>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</si>
  <si>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</si>
  <si>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</si>
  <si>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</si>
  <si>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</si>
  <si>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</si>
  <si>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</si>
  <si>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</si>
  <si>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</si>
  <si>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</si>
  <si>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</si>
  <si>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</si>
  <si>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</si>
  <si>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</si>
  <si>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</si>
  <si>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</si>
  <si>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</si>
  <si>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</si>
  <si>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</si>
  <si>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</si>
  <si>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</si>
  <si>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</si>
  <si>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</si>
  <si>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</si>
  <si>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</si>
  <si>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</si>
  <si>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</si>
  <si>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</si>
  <si>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</si>
  <si>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</si>
  <si>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</si>
  <si>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</si>
  <si>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</si>
  <si>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</si>
  <si>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</si>
  <si>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</si>
  <si>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</si>
  <si>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</si>
  <si>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</si>
  <si>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</si>
  <si>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</si>
  <si>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</si>
  <si>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</si>
  <si>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</si>
  <si>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</si>
  <si>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</si>
  <si>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</si>
  <si>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</si>
  <si>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</si>
  <si>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</si>
  <si>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</si>
  <si>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</si>
  <si>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</si>
  <si>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</si>
  <si>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</si>
  <si>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</si>
  <si>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</si>
  <si>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</si>
  <si>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</si>
  <si>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</si>
  <si>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</si>
  <si>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</si>
  <si>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</si>
  <si>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</si>
  <si>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</si>
  <si>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</si>
  <si>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</si>
  <si>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</si>
  <si>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</si>
  <si>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</si>
  <si>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</si>
  <si>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</si>
  <si>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</si>
  <si>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</si>
  <si>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</si>
  <si>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</si>
  <si>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</si>
  <si>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</si>
  <si>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</si>
  <si>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</si>
  <si>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</si>
  <si>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</si>
  <si>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</si>
  <si>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</si>
  <si>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</si>
  <si>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</si>
  <si>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</si>
  <si>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</si>
  <si>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</si>
  <si>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</si>
  <si>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</si>
  <si>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</si>
  <si>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</si>
  <si>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</si>
  <si>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</si>
  <si>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</si>
  <si>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</si>
  <si>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</si>
  <si>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</si>
  <si>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</si>
  <si>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</si>
  <si>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</si>
  <si>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</si>
  <si>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</si>
  <si>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</si>
  <si>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</si>
  <si>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</si>
  <si>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</si>
  <si>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</si>
  <si>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</si>
  <si>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</si>
  <si>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</si>
  <si>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</si>
  <si>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</si>
  <si>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</si>
  <si>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</si>
  <si>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</si>
  <si>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</si>
  <si>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</si>
  <si>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</si>
  <si>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</si>
  <si>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</si>
  <si>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</si>
  <si>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</si>
  <si>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</si>
  <si>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</si>
  <si>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</si>
  <si>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</si>
  <si>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</si>
  <si>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</si>
  <si>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</si>
  <si>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</si>
  <si>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</si>
  <si>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</si>
  <si>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</si>
  <si>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</si>
  <si>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</si>
  <si>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</si>
  <si>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</si>
  <si>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</si>
  <si>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</si>
  <si>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</si>
  <si>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</si>
  <si>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</si>
  <si>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</si>
  <si>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</si>
  <si>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</si>
  <si>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</si>
  <si>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</si>
  <si>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</si>
  <si>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</si>
  <si>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</si>
  <si>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</si>
  <si>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</si>
  <si>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</si>
  <si>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</si>
  <si>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</si>
  <si>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</si>
  <si>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</si>
  <si>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</si>
  <si>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</si>
  <si>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</si>
  <si>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</si>
  <si>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</si>
  <si>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</si>
  <si>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</si>
  <si>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</si>
  <si>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</si>
  <si>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</si>
  <si>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</si>
  <si>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</si>
  <si>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</si>
  <si>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</si>
  <si>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</si>
  <si>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</si>
  <si>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</si>
  <si>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</si>
  <si>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</si>
  <si>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</si>
  <si>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</si>
  <si>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</si>
  <si>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</si>
  <si>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</si>
  <si>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</si>
  <si>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</si>
  <si>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</si>
  <si>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</si>
  <si>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</si>
  <si>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</si>
  <si>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</si>
  <si>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</si>
  <si>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</si>
  <si>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</si>
  <si>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</si>
  <si>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</si>
  <si>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</si>
  <si>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</si>
  <si>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</si>
  <si>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</si>
  <si>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</si>
  <si>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</si>
  <si>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</si>
  <si>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</si>
  <si>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</si>
  <si>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</si>
  <si>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</si>
  <si>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</si>
  <si>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</si>
  <si>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</si>
  <si>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</si>
  <si>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</si>
  <si>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</si>
  <si>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</si>
  <si>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</si>
  <si>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</si>
  <si>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</si>
  <si>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</si>
  <si>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</si>
  <si>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</si>
  <si>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</si>
  <si>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</si>
  <si>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</si>
  <si>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</si>
  <si>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</si>
  <si>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</si>
  <si>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</si>
  <si>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</si>
  <si>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</si>
  <si>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</si>
  <si>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</si>
  <si>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</si>
  <si>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</si>
  <si>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</si>
  <si>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</si>
  <si>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</si>
  <si>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</si>
  <si>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</si>
  <si>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</si>
  <si>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</si>
  <si>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</si>
  <si>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</si>
  <si>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</si>
  <si>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</si>
  <si>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</si>
  <si>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</si>
  <si>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</si>
  <si>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</si>
  <si>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</si>
  <si>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</si>
  <si>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</si>
  <si>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</si>
  <si>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</si>
  <si>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</si>
  <si>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</si>
  <si>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</si>
  <si>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</si>
  <si>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</si>
  <si>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</si>
  <si>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</si>
  <si>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</si>
  <si>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</si>
  <si>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</si>
  <si>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</si>
  <si>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</si>
  <si>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</si>
  <si>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</si>
  <si>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</si>
  <si>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</si>
  <si>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</si>
  <si>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</si>
  <si>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</si>
  <si>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</si>
  <si>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</si>
  <si>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</si>
  <si>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</si>
  <si>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</si>
  <si>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</si>
  <si>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</si>
  <si>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</si>
  <si>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</si>
  <si>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</si>
  <si>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</si>
  <si>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</si>
  <si>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</si>
  <si>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</si>
  <si>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</si>
  <si>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</si>
  <si>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</si>
  <si>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</si>
  <si>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</si>
  <si>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</si>
  <si>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</si>
  <si>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</si>
  <si>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</si>
  <si>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</si>
  <si>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</si>
  <si>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</si>
  <si>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</si>
  <si>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</si>
  <si>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</si>
  <si>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</si>
  <si>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</si>
  <si>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</si>
  <si>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</si>
  <si>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</si>
  <si>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</si>
  <si>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</si>
  <si>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</si>
  <si>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</si>
  <si>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</si>
  <si>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</si>
  <si>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</si>
  <si>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</si>
  <si>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</si>
  <si>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</si>
  <si>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</si>
  <si>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</si>
  <si>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</si>
  <si>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</si>
  <si>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</si>
  <si>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</si>
  <si>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</si>
  <si>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</si>
  <si>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</si>
  <si>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</si>
  <si>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</si>
  <si>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</si>
  <si>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</si>
  <si>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</si>
  <si>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</si>
  <si>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</si>
  <si>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</si>
  <si>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</si>
  <si>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</si>
  <si>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</si>
  <si>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</si>
  <si>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</si>
  <si>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</si>
  <si>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</si>
  <si>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</si>
  <si>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</si>
  <si>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</si>
  <si>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</si>
  <si>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</si>
  <si>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</si>
  <si>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</si>
  <si>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</si>
  <si>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</si>
  <si>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</si>
  <si>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</si>
  <si>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</si>
  <si>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</si>
  <si>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</si>
  <si>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</si>
  <si>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</si>
  <si>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</si>
  <si>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</si>
  <si>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</si>
  <si>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</si>
  <si>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</si>
  <si>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</si>
  <si>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</si>
  <si>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</si>
  <si>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</si>
  <si>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</si>
  <si>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</si>
  <si>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</si>
  <si>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</si>
  <si>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</si>
  <si>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</si>
  <si>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</si>
  <si>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</si>
  <si>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</si>
  <si>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</si>
  <si>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</si>
  <si>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</si>
  <si>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</si>
  <si>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</si>
  <si>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</si>
  <si>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</si>
  <si>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</si>
  <si>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</si>
  <si>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</si>
  <si>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</si>
  <si>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</si>
  <si>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</si>
  <si>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</si>
  <si>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</si>
  <si>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</si>
  <si>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</si>
  <si>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</si>
  <si>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</si>
  <si>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</si>
  <si>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</si>
  <si>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</si>
  <si>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</si>
  <si>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</si>
  <si>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</si>
  <si>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</si>
  <si>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</si>
  <si>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</si>
  <si>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</si>
  <si>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</si>
  <si>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</si>
  <si>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</si>
  <si>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</si>
  <si>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</si>
  <si>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</si>
  <si>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</si>
  <si>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</si>
  <si>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</si>
  <si>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</si>
  <si>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</si>
  <si>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</si>
  <si>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</si>
  <si>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</si>
  <si>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</si>
  <si>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</si>
  <si>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</si>
  <si>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</si>
  <si>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</si>
  <si>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</si>
  <si>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</si>
  <si>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</si>
  <si>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</si>
  <si>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</si>
  <si>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</si>
  <si>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</si>
  <si>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</si>
  <si>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</si>
  <si>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</si>
  <si>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</si>
  <si>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</si>
  <si>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</si>
  <si>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</si>
  <si>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</si>
  <si>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</si>
  <si>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</si>
  <si>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</si>
  <si>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</si>
  <si>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</si>
  <si>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</si>
  <si>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</si>
  <si>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</si>
  <si>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</si>
  <si>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</si>
  <si>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</si>
  <si>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</si>
  <si>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</si>
  <si>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</si>
  <si>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</si>
  <si>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</si>
  <si>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</si>
  <si>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</si>
  <si>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</si>
  <si>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</si>
  <si>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</si>
  <si>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</si>
  <si>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</si>
  <si>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</si>
  <si>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</si>
  <si>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</si>
  <si>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</si>
  <si>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</si>
  <si>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</si>
  <si>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</si>
  <si>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</si>
  <si>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</si>
  <si>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</si>
  <si>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</si>
  <si>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</si>
  <si>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</si>
  <si>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</si>
  <si>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</si>
  <si>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</si>
  <si>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</si>
  <si>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</si>
  <si>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</si>
  <si>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</si>
  <si>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</si>
  <si>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</si>
  <si>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</si>
  <si>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</si>
  <si>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</si>
  <si>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</si>
  <si>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</si>
  <si>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</si>
  <si>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</si>
  <si>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</si>
  <si>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</si>
  <si>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</si>
  <si>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</si>
  <si>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</si>
  <si>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</si>
  <si>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</si>
  <si>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</si>
  <si>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</si>
  <si>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</si>
  <si>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</si>
  <si>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</si>
  <si>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</si>
  <si>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</si>
  <si>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</si>
  <si>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</si>
  <si>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</si>
  <si>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</si>
  <si>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</si>
  <si>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</si>
  <si>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</si>
  <si>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</si>
  <si>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</si>
  <si>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</si>
  <si>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</si>
  <si>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</si>
  <si>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</si>
  <si>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</si>
  <si>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</si>
  <si>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</si>
  <si>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</si>
  <si>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</si>
  <si>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</si>
  <si>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</si>
  <si>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</si>
  <si>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</si>
  <si>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</si>
  <si>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</si>
  <si>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</si>
  <si>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</si>
  <si>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</si>
  <si>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</si>
  <si>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</si>
  <si>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</si>
  <si>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</si>
  <si>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</si>
  <si>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</si>
  <si>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</si>
  <si>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</si>
  <si>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</si>
  <si>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</si>
  <si>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</si>
  <si>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</si>
  <si>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</si>
  <si>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</si>
  <si>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</si>
  <si>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</si>
  <si>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</si>
  <si>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</si>
  <si>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</si>
  <si>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</si>
  <si>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</si>
  <si>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</si>
  <si>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</si>
  <si>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</si>
  <si>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</si>
  <si>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</si>
  <si>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</si>
  <si>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</si>
  <si>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</si>
  <si>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</si>
  <si>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</si>
  <si>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</si>
  <si>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</si>
  <si>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</si>
  <si>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</si>
  <si>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</si>
  <si>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</si>
  <si>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</si>
  <si>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</si>
  <si>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</si>
  <si>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</si>
  <si>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</si>
  <si>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</si>
  <si>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</si>
  <si>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</si>
  <si>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</si>
  <si>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</si>
  <si>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</si>
  <si>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</si>
  <si>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</si>
  <si>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</si>
  <si>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</si>
  <si>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</si>
  <si>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</si>
  <si>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</si>
  <si>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</si>
  <si>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</si>
  <si>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</si>
  <si>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</si>
  <si>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</si>
  <si>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</si>
  <si>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</si>
  <si>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</si>
  <si>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</si>
  <si>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</si>
  <si>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</si>
  <si>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</si>
  <si>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</si>
  <si>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</si>
  <si>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</si>
  <si>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</si>
  <si>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</si>
  <si>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</si>
  <si>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</si>
  <si>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</si>
  <si>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</si>
  <si>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</si>
  <si>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</si>
  <si>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</si>
  <si>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</si>
  <si>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</si>
  <si>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</si>
  <si>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</si>
  <si>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</si>
  <si>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</si>
  <si>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</si>
  <si>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</si>
  <si>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</si>
  <si>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</si>
  <si>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</si>
  <si>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</si>
  <si>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</si>
  <si>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</si>
  <si>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</si>
  <si>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</si>
  <si>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</si>
  <si>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</si>
  <si>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</si>
  <si>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</si>
  <si>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</si>
  <si>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</si>
  <si>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</si>
  <si>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</si>
  <si>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</si>
  <si>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</si>
  <si>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</si>
  <si>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</si>
  <si>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</si>
  <si>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</si>
  <si>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</si>
  <si>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</si>
  <si>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</si>
  <si>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</si>
  <si>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</si>
  <si>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</si>
  <si>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</si>
  <si>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</si>
  <si>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</si>
  <si>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</si>
  <si>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</si>
  <si>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</si>
  <si>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</si>
  <si>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</si>
  <si>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</si>
  <si>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</si>
  <si>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</si>
  <si>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</si>
  <si>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</si>
  <si>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</si>
  <si>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</si>
  <si>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</si>
  <si>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</si>
  <si>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</si>
  <si>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</si>
  <si>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</si>
  <si>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</si>
  <si>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</si>
  <si>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</si>
  <si>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</si>
  <si>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</si>
  <si>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</si>
  <si>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</si>
  <si>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</si>
  <si>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</si>
  <si>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</si>
  <si>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</si>
  <si>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</si>
  <si>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</si>
  <si>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</si>
  <si>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</si>
  <si>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</si>
  <si>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</si>
  <si>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</si>
  <si>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</si>
  <si>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</si>
  <si>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</si>
  <si>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</si>
  <si>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</si>
  <si>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</si>
  <si>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</si>
  <si>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</si>
  <si>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</si>
  <si>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</si>
  <si>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</si>
  <si>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</si>
  <si>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</si>
  <si>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</si>
  <si>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</si>
  <si>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</si>
  <si>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</si>
  <si>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</si>
  <si>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</si>
  <si>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</si>
  <si>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</si>
  <si>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</si>
  <si>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</si>
  <si>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</si>
  <si>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</si>
  <si>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</si>
  <si>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</si>
  <si>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</si>
  <si>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</si>
  <si>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</si>
  <si>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</si>
  <si>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</si>
  <si>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</si>
  <si>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</si>
  <si>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</si>
  <si>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</si>
  <si>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</si>
  <si>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</si>
  <si>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</si>
  <si>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</si>
  <si>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</si>
  <si>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</si>
  <si>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</si>
  <si>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</si>
  <si>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</si>
  <si>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</si>
  <si>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</si>
  <si>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</si>
  <si>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</si>
  <si>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</si>
  <si>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</si>
  <si>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</si>
  <si>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</si>
  <si>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</si>
  <si>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</si>
  <si>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</si>
  <si>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</si>
  <si>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</si>
  <si>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</si>
  <si>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</si>
  <si>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</si>
  <si>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</si>
  <si>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</si>
  <si>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</si>
  <si>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</si>
  <si>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</si>
  <si>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</si>
  <si>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</si>
  <si>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</si>
  <si>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</si>
  <si>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</si>
  <si>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</si>
  <si>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</si>
  <si>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</si>
  <si>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</si>
  <si>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</si>
  <si>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</si>
  <si>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</si>
  <si>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</si>
  <si>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</si>
  <si>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</si>
  <si>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</si>
  <si>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</si>
  <si>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</si>
  <si>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</si>
  <si>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</si>
  <si>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</si>
  <si>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</si>
  <si>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</si>
  <si>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</si>
  <si>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</si>
  <si>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</si>
  <si>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</si>
  <si>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</si>
  <si>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</si>
  <si>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</si>
  <si>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</si>
  <si>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</si>
  <si>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</si>
  <si>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</si>
  <si>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</si>
  <si>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</si>
  <si>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</si>
  <si>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</si>
  <si>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</si>
  <si>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</si>
  <si>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</si>
  <si>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</si>
  <si>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</si>
  <si>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</si>
  <si>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</si>
  <si>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</si>
  <si>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</si>
  <si>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</si>
  <si>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</si>
  <si>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</si>
  <si>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</si>
  <si>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</si>
  <si>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</si>
  <si>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</si>
  <si>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</si>
  <si>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</si>
  <si>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</si>
  <si>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</si>
  <si>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</si>
  <si>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</si>
  <si>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</si>
  <si>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</si>
  <si>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</si>
  <si>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</si>
  <si>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</si>
  <si>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</si>
  <si>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</si>
  <si>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</si>
  <si>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</si>
  <si>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</si>
  <si>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</si>
  <si>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</si>
  <si>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</si>
  <si>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</si>
  <si>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</si>
  <si>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</si>
  <si>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</si>
  <si>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</si>
  <si>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</si>
  <si>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</si>
  <si>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</si>
  <si>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</si>
  <si>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</si>
  <si>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</si>
  <si>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</si>
  <si>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</si>
  <si>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</si>
  <si>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</si>
  <si>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</si>
  <si>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</si>
  <si>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</si>
  <si>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</si>
  <si>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</si>
  <si>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</si>
  <si>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</si>
  <si>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</si>
  <si>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</si>
  <si>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</si>
  <si>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</si>
  <si>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</si>
  <si>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</si>
  <si>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</si>
  <si>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</si>
  <si>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</si>
  <si>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</si>
  <si>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</si>
  <si>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</si>
  <si>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</si>
  <si>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</si>
  <si>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</si>
  <si>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</si>
  <si>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</si>
  <si>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</si>
  <si>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</si>
  <si>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</si>
  <si>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</si>
  <si>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</si>
  <si>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</si>
  <si>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</si>
  <si>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</si>
  <si>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</si>
  <si>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</si>
  <si>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</si>
  <si>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</si>
  <si>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</si>
  <si>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</si>
  <si>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</si>
  <si>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</si>
  <si>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</si>
  <si>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</si>
  <si>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</si>
  <si>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</si>
  <si>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</si>
  <si>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</si>
  <si>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</si>
  <si>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</si>
  <si>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</si>
  <si>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</si>
  <si>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</si>
  <si>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</si>
  <si>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</si>
  <si>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</si>
  <si>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</si>
  <si>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</si>
  <si>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</si>
  <si>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</si>
  <si>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</si>
  <si>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</si>
  <si>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</si>
  <si>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</si>
  <si>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</si>
  <si>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</si>
  <si>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</si>
  <si>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</si>
  <si>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</si>
  <si>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</si>
  <si>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</si>
  <si>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</si>
  <si>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</si>
  <si>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</si>
  <si>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</si>
  <si>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</si>
  <si>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</si>
  <si>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</si>
  <si>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</si>
  <si>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</si>
  <si>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</si>
  <si>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</si>
  <si>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</si>
  <si>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</si>
  <si>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</si>
  <si>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</si>
  <si>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</si>
  <si>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</si>
  <si>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</si>
  <si>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</si>
  <si>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</si>
  <si>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</si>
  <si>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</si>
  <si>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</si>
  <si>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</si>
  <si>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</si>
  <si>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</si>
  <si>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</si>
  <si>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</si>
  <si>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</si>
  <si>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</si>
  <si>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</si>
  <si>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</si>
  <si>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</si>
  <si>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</si>
  <si>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</si>
  <si>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</si>
  <si>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</si>
  <si>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</si>
  <si>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</si>
  <si>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</si>
  <si>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</si>
  <si>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</si>
  <si>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</si>
  <si>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</si>
  <si>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</si>
  <si>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</si>
  <si>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</si>
  <si>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</si>
  <si>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</si>
  <si>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</si>
  <si>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</si>
  <si>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</si>
  <si>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</si>
  <si>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</si>
  <si>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</si>
  <si>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</si>
  <si>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</si>
  <si>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</si>
  <si>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</si>
  <si>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</si>
  <si>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</si>
  <si>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</si>
  <si>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</si>
  <si>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</si>
  <si>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</si>
  <si>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</si>
  <si>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</si>
  <si>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</si>
  <si>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</si>
  <si>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</si>
  <si>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</si>
  <si>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</si>
  <si>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</si>
  <si>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</si>
  <si>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</si>
  <si>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</si>
  <si>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</si>
  <si>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</si>
  <si>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</si>
  <si>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</si>
  <si>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</si>
  <si>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</si>
  <si>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</si>
  <si>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</si>
  <si>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</si>
  <si>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</si>
  <si>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</si>
  <si>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</si>
  <si>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</si>
  <si>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</si>
  <si>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</si>
  <si>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</si>
  <si>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</si>
  <si>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</si>
  <si>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</si>
  <si>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</si>
  <si>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</si>
  <si>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</si>
  <si>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</si>
  <si>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</si>
  <si>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</si>
  <si>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</si>
  <si>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</si>
  <si>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</si>
  <si>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</si>
  <si>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</si>
  <si>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</si>
  <si>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</si>
  <si>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</si>
  <si>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</si>
  <si>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</si>
  <si>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</si>
  <si>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</si>
  <si>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</si>
  <si>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</si>
  <si>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</si>
  <si>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</si>
  <si>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</si>
  <si>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</si>
  <si>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</si>
  <si>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</si>
  <si>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</si>
  <si>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</si>
  <si>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</si>
  <si>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</si>
  <si>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</si>
  <si>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</si>
  <si>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</si>
  <si>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</si>
  <si>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</si>
  <si>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</si>
  <si>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</si>
  <si>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</si>
  <si>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</si>
  <si>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</si>
  <si>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</si>
  <si>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</si>
  <si>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</si>
  <si>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</si>
  <si>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</si>
  <si>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</si>
  <si>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</si>
  <si>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</si>
  <si>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</si>
  <si>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</si>
  <si>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</si>
  <si>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</si>
  <si>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</si>
  <si>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</si>
  <si>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</si>
  <si>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</si>
  <si>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</si>
  <si>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</si>
  <si>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</si>
  <si>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</si>
  <si>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</si>
  <si>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</si>
  <si>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</si>
  <si>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</si>
  <si>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</si>
  <si>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</si>
  <si>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</si>
  <si>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</si>
  <si>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</si>
  <si>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</si>
  <si>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</si>
  <si>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</si>
  <si>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</si>
  <si>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</si>
  <si>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</si>
  <si>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</si>
  <si>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</si>
  <si>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</si>
  <si>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</si>
  <si>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</si>
  <si>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</si>
  <si>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</si>
  <si>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</si>
  <si>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</si>
  <si>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</si>
  <si>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</si>
  <si>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</si>
  <si>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</si>
  <si>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</si>
  <si>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</si>
  <si>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</si>
  <si>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</si>
  <si>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</si>
  <si>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</si>
  <si>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</si>
  <si>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</si>
  <si>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</si>
  <si>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</si>
  <si>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</si>
  <si>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</si>
  <si>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</si>
  <si>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</si>
  <si>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</si>
  <si>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</si>
  <si>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</si>
  <si>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</si>
  <si>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</si>
  <si>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</si>
  <si>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</si>
  <si>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</si>
  <si>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</si>
  <si>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</si>
  <si>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</si>
  <si>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</si>
  <si>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</si>
  <si>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</si>
  <si>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</si>
  <si>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</si>
  <si>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</si>
  <si>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</si>
  <si>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</si>
  <si>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</si>
  <si>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</si>
  <si>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</si>
  <si>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</si>
  <si>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</si>
  <si>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</si>
  <si>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</si>
  <si>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</si>
  <si>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</si>
  <si>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</si>
  <si>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</si>
  <si>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</si>
  <si>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</si>
  <si>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</si>
  <si>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</si>
  <si>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</si>
  <si>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</si>
  <si>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</si>
  <si>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</si>
  <si>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</si>
  <si>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</si>
  <si>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</si>
  <si>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</si>
  <si>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</si>
  <si>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</si>
  <si>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</si>
  <si>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</si>
  <si>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</si>
  <si>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</si>
  <si>
    <t>ˋ</t>
    <phoneticPr fontId="9" type="noConversion"/>
  </si>
  <si>
    <t>輸入【鼻音化韻母】的【前置識別符】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</si>
</sst>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48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28"/>
      <color rgb="FF000000"/>
      <name val="新細明體"/>
      <family val="1"/>
      <scheme val="minor"/>
    </font>
    <font>
      <sz val="36"/>
      <color rgb="FF000000"/>
      <name val="JetBrainsMonoNL NF Medium"/>
      <family val="3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4"/>
      <color theme="0"/>
      <name val="Iansui 094"/>
    </font>
    <font>
      <b/>
      <sz val="24"/>
      <color theme="0"/>
      <name val="Iansui 094"/>
    </font>
    <font>
      <sz val="12"/>
      <color theme="0"/>
      <name val="Noto Sans TC"/>
      <family val="2"/>
    </font>
    <font>
      <sz val="22"/>
      <color rgb="FFFF0000"/>
      <name val="Noto Sans TC Light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52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30" fillId="13" borderId="0" xfId="1" applyFont="1" applyFill="1" applyAlignment="1">
      <alignment horizontal="left" vertical="center" indent="1"/>
    </xf>
    <xf numFmtId="177" fontId="214" fillId="7" borderId="23" xfId="2" applyNumberFormat="1" applyFont="1" applyFill="1" applyBorder="1" applyAlignment="1">
      <alignment horizontal="center" vertical="center"/>
    </xf>
    <xf numFmtId="177" fontId="215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19" fillId="0" borderId="16" xfId="1" applyFont="1" applyBorder="1" applyAlignment="1">
      <alignment horizontal="center" vertical="center"/>
    </xf>
    <xf numFmtId="0" fontId="220" fillId="0" borderId="16" xfId="1" applyFont="1" applyBorder="1" applyAlignment="1">
      <alignment horizontal="center" vertical="center"/>
    </xf>
    <xf numFmtId="0" fontId="219" fillId="0" borderId="16" xfId="2" applyFont="1" applyBorder="1" applyAlignment="1">
      <alignment horizontal="center" vertical="center"/>
    </xf>
    <xf numFmtId="0" fontId="219" fillId="0" borderId="16" xfId="2" applyFont="1" applyBorder="1" applyAlignment="1">
      <alignment horizontal="center"/>
    </xf>
    <xf numFmtId="0" fontId="219" fillId="9" borderId="16" xfId="1" applyFont="1" applyFill="1" applyBorder="1" applyAlignment="1">
      <alignment horizontal="center" vertical="center"/>
    </xf>
    <xf numFmtId="0" fontId="219" fillId="0" borderId="0" xfId="2" applyFont="1" applyAlignment="1">
      <alignment vertical="center"/>
    </xf>
    <xf numFmtId="0" fontId="222" fillId="30" borderId="16" xfId="1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/>
    </xf>
    <xf numFmtId="0" fontId="221" fillId="0" borderId="16" xfId="2" applyFont="1" applyBorder="1" applyAlignment="1">
      <alignment horizontal="center" vertical="center"/>
    </xf>
    <xf numFmtId="0" fontId="221" fillId="0" borderId="16" xfId="2" applyFont="1" applyBorder="1" applyAlignment="1">
      <alignment horizontal="left" vertical="center"/>
    </xf>
    <xf numFmtId="0" fontId="221" fillId="0" borderId="16" xfId="2" applyFont="1" applyBorder="1" applyAlignment="1">
      <alignment horizontal="left" vertical="center" readingOrder="1"/>
    </xf>
    <xf numFmtId="0" fontId="223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2" fillId="31" borderId="16" xfId="1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/>
    </xf>
    <xf numFmtId="0" fontId="222" fillId="32" borderId="16" xfId="1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/>
    </xf>
    <xf numFmtId="0" fontId="221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4" fillId="28" borderId="28" xfId="4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64" fillId="5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5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6" fillId="0" borderId="0" xfId="0" applyFont="1"/>
    <xf numFmtId="0" fontId="221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7" fillId="19" borderId="0" xfId="2" applyFont="1" applyFill="1" applyAlignment="1">
      <alignment vertical="center"/>
    </xf>
    <xf numFmtId="0" fontId="227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0" fillId="0" borderId="0" xfId="0" quotePrefix="1" applyFont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29" fillId="0" borderId="16" xfId="0" applyFont="1" applyBorder="1" applyAlignment="1">
      <alignment horizontal="center" vertical="center"/>
    </xf>
    <xf numFmtId="0" fontId="229" fillId="34" borderId="16" xfId="0" applyFont="1" applyFill="1" applyBorder="1" applyAlignment="1">
      <alignment horizontal="center" vertical="center"/>
    </xf>
    <xf numFmtId="0" fontId="230" fillId="0" borderId="0" xfId="0" applyFont="1" applyAlignment="1">
      <alignment horizontal="left" vertical="center"/>
    </xf>
    <xf numFmtId="0" fontId="67" fillId="0" borderId="16" xfId="2" applyFont="1" applyBorder="1" applyAlignment="1">
      <alignment horizontal="center" vertical="center"/>
    </xf>
    <xf numFmtId="0" fontId="231" fillId="0" borderId="0" xfId="2" applyFont="1" applyAlignment="1">
      <alignment horizontal="center" vertical="center"/>
    </xf>
    <xf numFmtId="0" fontId="222" fillId="35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1" fillId="0" borderId="0" xfId="2" applyFont="1"/>
    <xf numFmtId="0" fontId="232" fillId="0" borderId="0" xfId="2" applyFont="1"/>
    <xf numFmtId="0" fontId="232" fillId="0" borderId="0" xfId="2" applyFont="1" applyAlignment="1">
      <alignment horizontal="left" vertical="center"/>
    </xf>
    <xf numFmtId="0" fontId="232" fillId="0" borderId="0" xfId="2" applyFont="1" applyAlignment="1">
      <alignment horizontal="center" vertical="center"/>
    </xf>
    <xf numFmtId="0" fontId="233" fillId="0" borderId="0" xfId="1" applyFont="1" applyAlignment="1">
      <alignment horizontal="center" vertical="center"/>
    </xf>
    <xf numFmtId="0" fontId="233" fillId="0" borderId="0" xfId="1" applyFont="1" applyAlignment="1">
      <alignment horizontal="left" vertical="center"/>
    </xf>
    <xf numFmtId="0" fontId="234" fillId="18" borderId="12" xfId="0" applyFont="1" applyFill="1" applyBorder="1" applyAlignment="1">
      <alignment horizontal="center" vertical="center"/>
    </xf>
    <xf numFmtId="0" fontId="235" fillId="7" borderId="13" xfId="0" applyFont="1" applyFill="1" applyBorder="1" applyAlignment="1">
      <alignment horizontal="center" vertical="center"/>
    </xf>
    <xf numFmtId="0" fontId="234" fillId="5" borderId="13" xfId="0" applyFont="1" applyFill="1" applyBorder="1" applyAlignment="1">
      <alignment horizontal="center" vertical="center"/>
    </xf>
    <xf numFmtId="0" fontId="234" fillId="5" borderId="14" xfId="0" applyFont="1" applyFill="1" applyBorder="1" applyAlignment="1">
      <alignment horizontal="center" vertical="center"/>
    </xf>
    <xf numFmtId="0" fontId="235" fillId="18" borderId="12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left" vertical="center" indent="3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left" vertical="center" indent="3"/>
    </xf>
    <xf numFmtId="0" fontId="236" fillId="18" borderId="16" xfId="2" applyFont="1" applyFill="1" applyBorder="1" applyAlignment="1">
      <alignment horizontal="center" vertical="center"/>
    </xf>
    <xf numFmtId="0" fontId="237" fillId="18" borderId="16" xfId="2" applyFont="1" applyFill="1" applyBorder="1" applyAlignment="1">
      <alignment horizontal="center" vertical="center"/>
    </xf>
    <xf numFmtId="0" fontId="235" fillId="7" borderId="16" xfId="4" applyFont="1" applyFill="1" applyBorder="1" applyAlignment="1">
      <alignment horizontal="center" vertical="center"/>
    </xf>
    <xf numFmtId="0" fontId="238" fillId="0" borderId="0" xfId="0" applyFont="1"/>
    <xf numFmtId="0" fontId="239" fillId="0" borderId="0" xfId="2" applyFont="1" applyAlignment="1">
      <alignment vertical="center"/>
    </xf>
    <xf numFmtId="0" fontId="231" fillId="0" borderId="16" xfId="2" applyFont="1" applyBorder="1" applyAlignment="1">
      <alignment horizontal="center" vertical="center"/>
    </xf>
    <xf numFmtId="0" fontId="240" fillId="0" borderId="0" xfId="2" applyFont="1" applyAlignment="1">
      <alignment horizontal="center" vertical="center"/>
    </xf>
    <xf numFmtId="0" fontId="241" fillId="0" borderId="0" xfId="2" applyFont="1" applyAlignment="1">
      <alignment horizontal="center" vertical="center"/>
    </xf>
    <xf numFmtId="0" fontId="242" fillId="0" borderId="0" xfId="2" applyFont="1"/>
    <xf numFmtId="0" fontId="243" fillId="0" borderId="0" xfId="2" applyFont="1" applyAlignment="1">
      <alignment horizontal="center" vertical="center"/>
    </xf>
    <xf numFmtId="0" fontId="224" fillId="28" borderId="6" xfId="4" applyFont="1" applyFill="1" applyBorder="1" applyAlignment="1">
      <alignment horizontal="center" vertical="center"/>
    </xf>
    <xf numFmtId="0" fontId="138" fillId="32" borderId="17" xfId="0" applyFont="1" applyFill="1" applyBorder="1" applyAlignment="1">
      <alignment horizontal="center" vertical="center"/>
    </xf>
    <xf numFmtId="0" fontId="10" fillId="32" borderId="8" xfId="0" applyFont="1" applyFill="1" applyBorder="1" applyAlignment="1">
      <alignment horizontal="center" vertical="center"/>
    </xf>
    <xf numFmtId="0" fontId="10" fillId="32" borderId="13" xfId="0" applyFont="1" applyFill="1" applyBorder="1" applyAlignment="1">
      <alignment horizontal="center" vertical="center"/>
    </xf>
    <xf numFmtId="0" fontId="98" fillId="30" borderId="13" xfId="0" applyFont="1" applyFill="1" applyBorder="1" applyAlignment="1">
      <alignment horizontal="center" vertical="center"/>
    </xf>
    <xf numFmtId="0" fontId="244" fillId="30" borderId="8" xfId="0" applyFont="1" applyFill="1" applyBorder="1" applyAlignment="1">
      <alignment horizontal="center" vertical="center"/>
    </xf>
    <xf numFmtId="0" fontId="245" fillId="30" borderId="13" xfId="0" applyFont="1" applyFill="1" applyBorder="1" applyAlignment="1">
      <alignment horizontal="center" vertical="center"/>
    </xf>
    <xf numFmtId="0" fontId="244" fillId="30" borderId="13" xfId="0" applyFont="1" applyFill="1" applyBorder="1" applyAlignment="1">
      <alignment horizontal="center" vertical="center"/>
    </xf>
    <xf numFmtId="0" fontId="244" fillId="30" borderId="1" xfId="0" applyFont="1" applyFill="1" applyBorder="1" applyAlignment="1">
      <alignment horizontal="center" vertical="center"/>
    </xf>
    <xf numFmtId="0" fontId="246" fillId="30" borderId="17" xfId="0" applyFont="1" applyFill="1" applyBorder="1" applyAlignment="1">
      <alignment horizontal="center" vertical="center"/>
    </xf>
    <xf numFmtId="0" fontId="247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2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/work/rime-tlpa/docs/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1" dataDxfId="109" headerRowBorderDxfId="110" tableBorderDxfId="108" headerRowCellStyle="一般 2" dataCellStyle="一般 2">
  <tableColumns count="9">
    <tableColumn id="1" xr3:uid="{423B74D9-3D3F-4B2B-8D68-A4E9171D5CB7}" name="序號" dataDxfId="107" dataCellStyle="一般 2"/>
    <tableColumn id="2" xr3:uid="{396D49D7-AA99-4DEA-9619-65E7FD5D39AB}" name="鍵盤按鍵" dataDxfId="106" dataCellStyle="一般 2"/>
    <tableColumn id="4" xr3:uid="{235A3757-E71F-4A17-A84D-41CE930C6F69}" name="方音符號" dataDxfId="105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4" dataCellStyle="一般 2"/>
    <tableColumn id="6" xr3:uid="{43C98D01-F75F-4F2F-A863-AE225770CCD0}" name="台語音標" dataDxfId="103" dataCellStyle="一般 2"/>
    <tableColumn id="5" xr3:uid="{FD87CD5D-A668-47A2-81A3-7C73ADB50A00}" name="注音二式" dataDxfId="102" dataCellStyle="一般 2"/>
    <tableColumn id="9" xr3:uid="{740AB951-BE37-47AA-A7ED-9C808A3139CE}" name="閩拼方案" dataDxfId="101" dataCellStyle="一般 2"/>
    <tableColumn id="7" xr3:uid="{F1056CD8-A3DD-470F-BA01-3A47106881E2}" name="聲韻調" dataDxfId="100" dataCellStyle="一般 2"/>
    <tableColumn id="8" xr3:uid="{283E1CF3-6561-41D8-B4DF-0A3C621707B0}" name="附註" dataDxfId="9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8" tableBorderDxfId="97">
  <autoFilter ref="B2:J62" xr:uid="{779076CF-6DEF-4E4E-89FE-E37B7352A3DC}"/>
  <tableColumns count="9">
    <tableColumn id="1" xr3:uid="{54A56422-F653-4F43-A4BC-B7E408DB967F}" name="序號" dataDxfId="96">
      <calculatedColumnFormula>ROW() - 2</calculatedColumnFormula>
    </tableColumn>
    <tableColumn id="2" xr3:uid="{5A5D3F24-31DF-4DA1-90A3-3528AC1BB140}" name="鍵盤按鍵" dataDxfId="95" dataCellStyle="一般 4"/>
    <tableColumn id="4" xr3:uid="{7697EFEF-572C-4518-9C44-021ED2D17180}" name="方音符號" dataDxfId="94"/>
    <tableColumn id="3" xr3:uid="{141DBB4F-3B84-415F-90EB-264F04B73BB3}" name="字典編碼" dataDxfId="93"/>
    <tableColumn id="7" xr3:uid="{68891DDC-3F35-4319-9039-E9F7A8C68D7E}" name="國際音標" dataDxfId="92"/>
    <tableColumn id="6" xr3:uid="{DA2F3FE8-33AD-4080-8A02-15751E5C76A4}" name="台語音標" dataDxfId="91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90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89">
      <calculatedColumnFormula array="1">IFERROR( INDEX(鍵盤設計表[閩拼方案], MATCH(TRUE, EXACT(注音編碼對照表[[#This Row],[方音符號]], 鍵盤設計表[方音符號]),0)), "")</calculatedColumnFormula>
    </tableColumn>
    <tableColumn id="5" xr3:uid="{8BB33926-9000-49E8-BA4C-48F0AB9CE640}" name="聲韻調" dataDxfId="88">
      <calculatedColumnFormula array="1">IFERROR( INDEX(鍵盤設計表[聲韻調],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87" tableBorderDxfId="86">
  <autoFilter ref="B2:I59" xr:uid="{779076CF-6DEF-4E4E-89FE-E37B7352A3DC}"/>
  <tableColumns count="8">
    <tableColumn id="1" xr3:uid="{7ED75D5E-652B-4A3F-A63F-E28CD639A2D8}" name="序號" dataDxfId="85">
      <calculatedColumnFormula>ROW() - 2</calculatedColumnFormula>
    </tableColumn>
    <tableColumn id="4" xr3:uid="{529434D2-88AB-4124-93AE-208E9AF52CB4}" name="方音符號" dataDxfId="84"/>
    <tableColumn id="7" xr3:uid="{F4C14CB4-A82C-41D9-AF30-BE553CA46FA3}" name="國際音標" dataDxfId="83"/>
    <tableColumn id="5" xr3:uid="{D8D8222D-C8AE-4DF4-A34E-931893A344C9}" name="聲韻調" dataDxfId="82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81"/>
    <tableColumn id="10" xr3:uid="{DA350350-8F6D-4C8C-83BA-6A539A0C0C5C}" name="注音二式" dataDxfId="80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79">
      <calculatedColumnFormula xml:space="preserve"> IFERROR( INDEX(#REF!, MATCH($AC3,#REF!, 0)), "")</calculatedColumnFormula>
    </tableColumn>
    <tableColumn id="2" xr3:uid="{A7CD0E37-FA88-4B7F-9344-02DCFD03CA57}" name="鍵盤按鍵" dataDxfId="78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77" dataDxfId="75" headerRowBorderDxfId="76" tableBorderDxfId="74" totalsRowBorderDxfId="73">
  <autoFilter ref="B98:H104" xr:uid="{6A40958B-9384-4E59-AE7A-3C944257DC11}"/>
  <tableColumns count="7">
    <tableColumn id="1" xr3:uid="{8F368751-5DB2-45B7-AEA8-1EA789D18D9E}" name="發音部位" dataDxfId="72"/>
    <tableColumn id="2" xr3:uid="{565C2DE6-6770-43E6-8E08-95DB3D74F449}" name="塞音_x000a_(不送氣)" dataDxfId="71"/>
    <tableColumn id="3" xr3:uid="{C60AB197-3C88-4553-AC8F-FA44CBAED771}" name="塞音_x000a_(送氣)" dataDxfId="70"/>
    <tableColumn id="4" xr3:uid="{D3AC809B-436F-4540-B125-7D7963B95663}" name="濁音" dataDxfId="69"/>
    <tableColumn id="5" xr3:uid="{E45EF470-ADED-4F00-ADA7-0F1E5230D10E}" name="鼻音" dataDxfId="68"/>
    <tableColumn id="6" xr3:uid="{67CD2B7D-B586-43C6-A726-BDF60FE9AE6C}" name="擦音" dataDxfId="67"/>
    <tableColumn id="7" xr3:uid="{0BF3A333-A1A0-4499-BCC9-FE62942F95E5}" name="邊音" dataDxfId="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65">
  <autoFilter ref="C4:G56" xr:uid="{CBD99B6E-1695-45CA-A35A-919D424705A0}"/>
  <tableColumns count="5">
    <tableColumn id="1" xr3:uid="{23C441A4-A9BF-4AF3-9A00-C54EFA849863}" name="按鍵字元" dataDxfId="64"/>
    <tableColumn id="2" xr3:uid="{BF68382C-29B0-42B3-B1E7-6BBFB43FDBF8}" name="注音符號" dataDxfId="63"/>
    <tableColumn id="3" xr3:uid="{53638260-1BF6-4965-A4AE-956982740802}" name="方音符號" dataDxfId="62"/>
    <tableColumn id="4" xr3:uid="{DCF6B5DB-F2BF-4A75-8F81-445A20F5EFEC}" name="音標編碼" dataDxfId="61"/>
    <tableColumn id="5" xr3:uid="{138EEA27-F029-4B76-B6E7-B073EAAE87F1}" name="台語音標" dataDxfId="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59" dataDxfId="58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57">
      <calculatedColumnFormula xml:space="preserve"> J3</calculatedColumnFormula>
    </tableColumn>
    <tableColumn id="4" xr3:uid="{7407D282-3312-489C-B29B-19D43E4E79D6}" name="注音編碼" dataDxfId="56" dataCellStyle="一般 4">
      <calculatedColumnFormula>I3</calculatedColumnFormula>
    </tableColumn>
    <tableColumn id="2" xr3:uid="{DAFEC160-B656-4EE0-9837-61A87BB277BC}" name="注音符號" dataDxfId="55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4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53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52">
      <calculatedColumnFormula>H3</calculatedColumnFormula>
    </tableColumn>
    <tableColumn id="4" xr3:uid="{52141FD4-4282-4655-8FDB-25D018179FEA}" name="字典編碼" dataDxfId="51" dataCellStyle="一般 4">
      <calculatedColumnFormula>G3</calculatedColumnFormula>
    </tableColumn>
    <tableColumn id="2" xr3:uid="{59B967E3-C71C-4CF6-991D-C8F093BAB101}" name="方音符號" dataDxfId="50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49" dataDxfId="47" headerRowBorderDxfId="48" tableBorderDxfId="46" totalsRowBorderDxfId="45">
  <autoFilter ref="B3:H9" xr:uid="{CB332761-5FFA-4AA1-A510-7EB68827E47D}"/>
  <tableColumns count="7">
    <tableColumn id="1" xr3:uid="{D99DF20F-51FB-47D5-B4CC-DA04A48AAC2D}" name="發音部位" dataDxfId="44"/>
    <tableColumn id="2" xr3:uid="{6BC15A71-E0D5-404C-A6A6-8B01367E9B89}" name="塞音(不送氣)" dataDxfId="43"/>
    <tableColumn id="3" xr3:uid="{44295C3E-0304-4D25-AA15-E5C51BA36FD4}" name="塞音(送氣)" dataDxfId="42"/>
    <tableColumn id="4" xr3:uid="{F4CC72CD-7170-4DE4-8D5A-C18C426CA527}" name="濁音" dataDxfId="41"/>
    <tableColumn id="5" xr3:uid="{CE151E5C-E9DA-4A02-AD63-353CCFA6087C}" name="鼻音" dataDxfId="40"/>
    <tableColumn id="6" xr3:uid="{69AB656D-E99F-4EEB-9854-42DF77ECEB05}" name="擦音" dataDxfId="39"/>
    <tableColumn id="7" xr3:uid="{F61BA027-9E56-47A1-8224-3F0734C11F32}" name="邊音" dataDxfId="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37" dataDxfId="35" headerRowBorderDxfId="36" tableBorderDxfId="34" totalsRowBorderDxfId="33">
  <tableColumns count="20">
    <tableColumn id="1" xr3:uid="{D5BB5D32-B8B3-4985-99FE-4CAE416F8896}" name="韻腹" dataDxfId="32"/>
    <tableColumn id="2" xr3:uid="{2E75F452-C9EB-485A-898D-31B0B52F386A}" name="a" dataDxfId="31"/>
    <tableColumn id="3" xr3:uid="{232D45FA-6A65-4DC6-83E0-957B07FDBA26}" name="aɪ" dataDxfId="30"/>
    <tableColumn id="4" xr3:uid="{70955649-D6B5-40D6-8690-B978B91DB6A6}" name="aʊ" dataDxfId="29"/>
    <tableColumn id="5" xr3:uid="{17517C7F-5843-41D1-B4A0-D822E2A05A3F}" name="e" dataDxfId="28"/>
    <tableColumn id="6" xr3:uid="{A32FB388-F51D-4A09-8143-A8FE8C2735DE}" name="i" dataDxfId="27"/>
    <tableColumn id="7" xr3:uid="{0E349367-F4AB-4C53-8AD3-78E3A14DA801}" name="ɪa" dataDxfId="26"/>
    <tableColumn id="8" xr3:uid="{79DEC6A5-E8D0-4D21-9F9D-F46FE120B69D}" name="ɪaʊ" dataDxfId="25"/>
    <tableColumn id="9" xr3:uid="{9744BF02-11F5-4A49-94C9-F7ABD46F3CF7}" name="ɪə" dataDxfId="24"/>
    <tableColumn id="10" xr3:uid="{7ECBA68D-4E2D-4AE6-95E9-14B150FB60F3}" name="ɪɔ" dataDxfId="23"/>
    <tableColumn id="11" xr3:uid="{AA74AB0B-66F4-4084-A3FE-D313C4537337}" name="iu" dataDxfId="22"/>
    <tableColumn id="12" xr3:uid="{952CA3C9-B72B-4B4A-8975-0116A219DC35}" name="ə" dataDxfId="21"/>
    <tableColumn id="13" xr3:uid="{889BAAAD-336F-4D7B-A274-546C3C9BAC2F}" name="ɔ" dataDxfId="20"/>
    <tableColumn id="14" xr3:uid="{91C2AF01-8439-4A47-A026-6CDF055DF255}" name="u" dataDxfId="19"/>
    <tableColumn id="15" xr3:uid="{5AC88F01-3D1A-4AB5-A9A0-C569C4DDA3AA}" name="ua" dataDxfId="18"/>
    <tableColumn id="16" xr3:uid="{53FD8BAA-0AD0-4BA5-A488-E8FBF6E3B776}" name="uaɪ" dataDxfId="17"/>
    <tableColumn id="17" xr3:uid="{AA997DB6-667B-42B6-9983-F5C6536CECFC}" name="ue" dataDxfId="16"/>
    <tableColumn id="18" xr3:uid="{07146182-EDC0-48F7-B098-DF65D5099290}" name="ui" dataDxfId="15"/>
    <tableColumn id="19" xr3:uid="{C0F0792E-1F02-4269-AD48-9C7CAC2FFDA8}" name="m" dataDxfId="14"/>
    <tableColumn id="20" xr3:uid="{CC92EBF2-6977-48AE-A3D3-E116BF9C29F9}" name="ŋ" dataDxfId="1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55" activePane="bottomLeft" state="frozen"/>
      <selection pane="bottomLeft" activeCell="D89" sqref="D89:I89"/>
    </sheetView>
    <sheetView topLeftCell="A54" workbookViewId="1">
      <selection activeCell="C84" sqref="C84:J84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8797</v>
      </c>
      <c r="I4" s="708" t="s">
        <v>8713</v>
      </c>
      <c r="J4" s="710" t="s">
        <v>8589</v>
      </c>
      <c r="K4" s="673"/>
      <c r="L4" s="729" t="s">
        <v>8804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8796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8781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8800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>
        <v>5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v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8782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>
        <v>3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705">
        <v>5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443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6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>
        <v>2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774">
        <v>3</v>
      </c>
      <c r="F29" s="627">
        <v>2</v>
      </c>
      <c r="G29" s="627">
        <v>2</v>
      </c>
      <c r="H29" s="774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D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774">
        <v>6</v>
      </c>
      <c r="F37" s="627">
        <v>7</v>
      </c>
      <c r="G37" s="627">
        <v>7</v>
      </c>
      <c r="H37" s="774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X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R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Q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774">
        <v>2</v>
      </c>
      <c r="F45" s="627">
        <v>5</v>
      </c>
      <c r="G45" s="627">
        <v>5</v>
      </c>
      <c r="H45" s="774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E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8783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426</v>
      </c>
      <c r="F56" s="648" t="s">
        <v>513</v>
      </c>
      <c r="G56" s="648" t="s">
        <v>513</v>
      </c>
      <c r="H56" s="648" t="s">
        <v>8806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414</v>
      </c>
      <c r="F58" s="648" t="s">
        <v>518</v>
      </c>
      <c r="G58" s="648" t="s">
        <v>518</v>
      </c>
      <c r="H58" s="648" t="s">
        <v>8807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:</v>
      </c>
      <c r="P59" s="629" t="str">
        <v>ˉ</v>
      </c>
      <c r="Q59" s="586">
        <v>1</v>
      </c>
      <c r="R59" s="629">
        <v>1</v>
      </c>
      <c r="S59" s="629">
        <v>1</v>
      </c>
      <c r="T59" s="629">
        <v>1</v>
      </c>
      <c r="U59" s="629" t="str">
        <v>調</v>
      </c>
      <c r="V59" s="663">
        <v>0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8795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/</v>
      </c>
      <c r="P60" s="629" t="str">
        <v>ㆭ</v>
      </c>
      <c r="Q60" s="586" t="str">
        <v>G</v>
      </c>
      <c r="R60" s="629" t="str">
        <v>ng</v>
      </c>
      <c r="S60" s="629" t="str">
        <v>ng</v>
      </c>
      <c r="T60" s="629" t="str">
        <v>ng</v>
      </c>
      <c r="U60" s="629" t="str">
        <v>韻</v>
      </c>
      <c r="V60" s="663" t="str">
        <v>ng鼻音韻尾編碼：【G】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?</v>
      </c>
      <c r="P61" s="629" t="str">
        <v>ㄥ</v>
      </c>
      <c r="Q61" s="586" t="str">
        <v>L</v>
      </c>
      <c r="R61" s="629" t="str">
        <v>nn</v>
      </c>
      <c r="S61" s="629" t="str">
        <v>nn</v>
      </c>
      <c r="T61" s="629" t="str">
        <v>nn</v>
      </c>
      <c r="U61" s="629" t="str">
        <v>鍵</v>
      </c>
      <c r="V61" s="663" t="str">
        <v>輸入【鼻音化韻母】的【前置識別符】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436</v>
      </c>
      <c r="F62" s="629" t="s">
        <v>276</v>
      </c>
      <c r="G62" s="629" t="s">
        <v>276</v>
      </c>
      <c r="H62" s="629" t="s">
        <v>8785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-</v>
      </c>
      <c r="P62" s="629" t="str">
        <v>ñ</v>
      </c>
      <c r="Q62" s="586" t="str">
        <v>*</v>
      </c>
      <c r="R62" s="629" t="str">
        <v>*nn</v>
      </c>
      <c r="S62" s="629" t="str">
        <v>*nn</v>
      </c>
      <c r="T62" s="629" t="str">
        <v>*nn</v>
      </c>
      <c r="U62" s="629" t="str">
        <v>鍵</v>
      </c>
      <c r="V62" s="663" t="str">
        <v>Ƞ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[</v>
      </c>
      <c r="P63" s="629" t="str">
        <v>ˉ</v>
      </c>
      <c r="Q63" s="586">
        <v>7</v>
      </c>
      <c r="R63" s="629">
        <v>4</v>
      </c>
      <c r="S63" s="629">
        <v>4</v>
      </c>
      <c r="T63" s="629">
        <v>7</v>
      </c>
      <c r="U63" s="629" t="str">
        <v>調</v>
      </c>
      <c r="V63" s="663">
        <v>0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397</v>
      </c>
      <c r="F64" s="648" t="s">
        <v>273</v>
      </c>
      <c r="G64" s="648" t="s">
        <v>864</v>
      </c>
      <c r="H64" s="648" t="s">
        <v>8784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8786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8801</v>
      </c>
      <c r="F66" s="648" t="s">
        <v>522</v>
      </c>
      <c r="G66" s="648" t="s">
        <v>522</v>
      </c>
      <c r="H66" s="648" t="s">
        <v>8787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421</v>
      </c>
      <c r="F68" s="629" t="s">
        <v>270</v>
      </c>
      <c r="G68" s="629" t="s">
        <v>270</v>
      </c>
      <c r="H68" s="629" t="s">
        <v>8788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8799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8802</v>
      </c>
      <c r="F70" s="629" t="s">
        <v>268</v>
      </c>
      <c r="G70" s="629" t="s">
        <v>268</v>
      </c>
      <c r="H70" s="629" t="s">
        <v>8789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8793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8794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8803</v>
      </c>
      <c r="F74" s="648" t="s">
        <v>265</v>
      </c>
      <c r="G74" s="648" t="s">
        <v>265</v>
      </c>
      <c r="H74" s="648" t="s">
        <v>8790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5" t="s">
        <v>500</v>
      </c>
      <c r="D75" s="746" t="s">
        <v>8767</v>
      </c>
      <c r="E75" s="746">
        <v>9</v>
      </c>
      <c r="F75" s="746">
        <v>9</v>
      </c>
      <c r="G75" s="746">
        <v>9</v>
      </c>
      <c r="H75" s="746">
        <v>9</v>
      </c>
      <c r="I75" s="746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47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8792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 t="s">
        <v>532</v>
      </c>
      <c r="E82" s="648">
        <v>1</v>
      </c>
      <c r="F82" s="648">
        <v>1</v>
      </c>
      <c r="G82" s="648">
        <v>1</v>
      </c>
      <c r="H82" s="648">
        <v>1</v>
      </c>
      <c r="I82" s="648" t="s">
        <v>2619</v>
      </c>
      <c r="J82" s="664"/>
      <c r="K82" s="673"/>
      <c r="L82" s="729">
        <f>LEN(鍵盤設計表[[#This Row],[方音符號]])</f>
        <v>1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8791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707" t="s">
        <v>517</v>
      </c>
      <c r="D84" s="643" t="s">
        <v>127</v>
      </c>
      <c r="E84" s="643" t="s">
        <v>231</v>
      </c>
      <c r="F84" s="643" t="s">
        <v>8766</v>
      </c>
      <c r="G84" s="643" t="s">
        <v>8766</v>
      </c>
      <c r="H84" s="643" t="s">
        <v>8766</v>
      </c>
      <c r="I84" s="702" t="s">
        <v>7878</v>
      </c>
      <c r="J84" s="703" t="s">
        <v>8816</v>
      </c>
      <c r="K84" s="673"/>
      <c r="L84" s="729">
        <f>LEN(鍵盤設計表[[#This Row],[方音符號]])</f>
        <v>1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8780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837">
        <v>7</v>
      </c>
      <c r="F87" s="629">
        <v>4</v>
      </c>
      <c r="G87" s="629">
        <v>4</v>
      </c>
      <c r="H87" s="837">
        <v>7</v>
      </c>
      <c r="I87" s="773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/>
      <c r="E89" s="629"/>
      <c r="F89" s="629"/>
      <c r="G89" s="629"/>
      <c r="H89" s="629"/>
      <c r="I89" s="773"/>
      <c r="J89" s="663"/>
      <c r="K89" s="673"/>
      <c r="L89" s="729">
        <f>LEN(鍵盤設計表[[#This Row],[方音符號]])</f>
        <v>0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/>
      <c r="E91" s="627"/>
      <c r="F91" s="627"/>
      <c r="G91" s="627"/>
      <c r="H91" s="627"/>
      <c r="I91" s="627"/>
      <c r="J91" s="662"/>
      <c r="K91" s="673"/>
      <c r="L91" s="729">
        <f>LEN(鍵盤設計表[[#This Row],[方音符號]])</f>
        <v>0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837">
        <v>8</v>
      </c>
      <c r="F93" s="629">
        <v>8</v>
      </c>
      <c r="G93" s="629">
        <v>8</v>
      </c>
      <c r="H93" s="837">
        <v>8</v>
      </c>
      <c r="I93" s="773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B5:J27 W5:W94 B28:C28 B29:J59 B60:C60 B61:J71 B72:C72 B73:J75 B76:C76 B77:J82 B83:C83 B84:J94 L102:M102">
    <cfRule type="cellIs" dxfId="12" priority="6" operator="equal">
      <formula>CHAR(32)</formula>
    </cfRule>
  </conditionalFormatting>
  <conditionalFormatting sqref="Y55">
    <cfRule type="cellIs" dxfId="11" priority="4" operator="equal">
      <formula>CHAR(32)</formula>
    </cfRule>
  </conditionalFormatting>
  <conditionalFormatting sqref="AD5:AH14">
    <cfRule type="cellIs" dxfId="10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  <sheetView workbookViewId="1"/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9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4" activePane="bottomLeft" state="frozen"/>
      <selection pane="bottomLeft" activeCell="C52" sqref="C52"/>
    </sheetView>
    <sheetView topLeftCell="A51" workbookViewId="1">
      <selection activeCell="D61" sqref="D61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1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1" t="s">
        <v>14</v>
      </c>
      <c r="C2" s="785" t="s">
        <v>19</v>
      </c>
      <c r="D2" s="846" t="s">
        <v>386</v>
      </c>
      <c r="E2" s="784" t="s">
        <v>17</v>
      </c>
      <c r="F2" s="783" t="s">
        <v>362</v>
      </c>
      <c r="G2" s="783" t="s">
        <v>388</v>
      </c>
      <c r="H2" s="782" t="s">
        <v>835</v>
      </c>
      <c r="I2" s="782" t="s">
        <v>8798</v>
      </c>
      <c r="J2" s="838" t="s">
        <v>8713</v>
      </c>
      <c r="L2"/>
      <c r="M2" s="370"/>
      <c r="Q2"/>
      <c r="R2"/>
      <c r="T2"/>
      <c r="W2"/>
    </row>
    <row r="3" spans="2:23" ht="33" thickTop="1">
      <c r="B3" s="779">
        <f t="shared" ref="B3:B34" si="0">ROW() - 2</f>
        <v>1</v>
      </c>
      <c r="C3" s="73" t="s">
        <v>351</v>
      </c>
      <c r="D3" s="841" t="s">
        <v>83</v>
      </c>
      <c r="E3" s="424" t="s">
        <v>143</v>
      </c>
      <c r="F3" s="772" t="s">
        <v>84</v>
      </c>
      <c r="G3" s="786" t="str" cm="1">
        <f t="array" ref="G3">IFERROR( INDEX(鍵盤設計表[台語音標], MATCH(TRUE, EXACT(注音編碼對照表[[#This Row],[方音符號]], 鍵盤設計表[方音符號]),0)), "")</f>
        <v>m</v>
      </c>
      <c r="H3" s="509" t="str" cm="1">
        <f t="array" ref="H3">IFERROR( INDEX(鍵盤設計表[注音二式], MATCH(TRUE, EXACT(注音編碼對照表[[#This Row],[方音符號]], 鍵盤設計表[方音符號]),0)),"")</f>
        <v>m</v>
      </c>
      <c r="I3" s="509" t="str" cm="1">
        <f t="array" ref="I3">IFERROR( INDEX(鍵盤設計表[閩拼方案], MATCH(TRUE, EXACT(注音編碼對照表[[#This Row],[方音符號]], 鍵盤設計表[方音符號]),0)), "")</f>
        <v>bbn</v>
      </c>
      <c r="J3" s="839" t="str" cm="1">
        <f t="array" ref="J3">IFERROR( INDEX(鍵盤設計表[聲韻調], MATCH(TRUE, EXACT(注音編碼對照表[[#This Row],[方音符號]], 鍵盤設計表[方音符號]),0)), "")</f>
        <v>聲</v>
      </c>
      <c r="L3"/>
      <c r="M3" s="370"/>
      <c r="Q3"/>
      <c r="R3"/>
      <c r="T3"/>
      <c r="W3"/>
    </row>
    <row r="4" spans="2:23" ht="32.25">
      <c r="B4" s="780">
        <f t="shared" si="0"/>
        <v>2</v>
      </c>
      <c r="C4" s="73" t="s">
        <v>394</v>
      </c>
      <c r="D4" s="842" t="s">
        <v>27</v>
      </c>
      <c r="E4" s="424" t="s">
        <v>144</v>
      </c>
      <c r="F4" s="763" t="s">
        <v>28</v>
      </c>
      <c r="G4" s="786" t="str" cm="1">
        <f t="array" ref="G4">IFERROR( INDEX(鍵盤設計表[台語音標], MATCH(TRUE, EXACT(注音編碼對照表[[#This Row],[方音符號]], 鍵盤設計表[方音符號]),0)), "")</f>
        <v>b</v>
      </c>
      <c r="H4" s="509" t="str" cm="1">
        <f t="array" ref="H4">IFERROR( INDEX(鍵盤設計表[注音二式], MATCH(TRUE, EXACT(注音編碼對照表[[#This Row],[方音符號]], 鍵盤設計表[方音符號]),0)),"")</f>
        <v>bb</v>
      </c>
      <c r="I4" s="509" t="str" cm="1">
        <f t="array" ref="I4">IFERROR( INDEX(鍵盤設計表[閩拼方案], MATCH(TRUE, EXACT(注音編碼對照表[[#This Row],[方音符號]], 鍵盤設計表[方音符號]),0)), "")</f>
        <v>bb</v>
      </c>
      <c r="J4" s="839" t="str" cm="1">
        <f t="array" ref="J4">IFERROR( INDEX(鍵盤設計表[聲韻調], MATCH(TRUE, EXACT(注音編碼對照表[[#This Row],[方音符號]], 鍵盤設計表[方音符號]),0)), "")</f>
        <v>聲</v>
      </c>
      <c r="L4"/>
      <c r="M4" s="370"/>
      <c r="Q4"/>
      <c r="R4"/>
      <c r="T4"/>
      <c r="W4"/>
    </row>
    <row r="5" spans="2:23" ht="32.25">
      <c r="B5" s="779">
        <f t="shared" si="0"/>
        <v>3</v>
      </c>
      <c r="C5" s="73" t="s">
        <v>361</v>
      </c>
      <c r="D5" s="841" t="s">
        <v>20</v>
      </c>
      <c r="E5" s="424" t="s">
        <v>190</v>
      </c>
      <c r="F5" s="772" t="s">
        <v>21</v>
      </c>
      <c r="G5" s="786" t="str" cm="1">
        <f t="array" ref="G5">IFERROR( INDEX(鍵盤設計表[台語音標], MATCH(TRUE, EXACT(注音編碼對照表[[#This Row],[方音符號]], 鍵盤設計表[方音符號]),0)), "")</f>
        <v>p</v>
      </c>
      <c r="H5" s="509" t="str" cm="1">
        <f t="array" ref="H5">IFERROR( INDEX(鍵盤設計表[注音二式], MATCH(TRUE, EXACT(注音編碼對照表[[#This Row],[方音符號]], 鍵盤設計表[方音符號]),0)),"")</f>
        <v>b</v>
      </c>
      <c r="I5" s="509" t="str" cm="1">
        <f t="array" ref="I5">IFERROR( INDEX(鍵盤設計表[閩拼方案], MATCH(TRUE, EXACT(注音編碼對照表[[#This Row],[方音符號]], 鍵盤設計表[方音符號]),0)), "")</f>
        <v>b</v>
      </c>
      <c r="J5" s="839" t="str" cm="1">
        <f t="array" ref="J5">IFERROR( INDEX(鍵盤設計表[聲韻調], MATCH(TRUE, EXACT(注音編碼對照表[[#This Row],[方音符號]], 鍵盤設計表[方音符號]),0)), "")</f>
        <v>聲</v>
      </c>
      <c r="L5"/>
      <c r="M5" s="370"/>
      <c r="Q5"/>
      <c r="R5"/>
      <c r="T5"/>
      <c r="W5"/>
    </row>
    <row r="6" spans="2:23" ht="32.25">
      <c r="B6" s="779">
        <f t="shared" si="0"/>
        <v>4</v>
      </c>
      <c r="C6" s="73" t="s">
        <v>353</v>
      </c>
      <c r="D6" s="841" t="s">
        <v>23</v>
      </c>
      <c r="E6" s="424" t="s">
        <v>217</v>
      </c>
      <c r="F6" s="772" t="s">
        <v>708</v>
      </c>
      <c r="G6" s="786" t="str" cm="1">
        <f t="array" ref="G6">IFERROR( INDEX(鍵盤設計表[台語音標], MATCH(TRUE, EXACT(注音編碼對照表[[#This Row],[方音符號]], 鍵盤設計表[方音符號]),0)), "")</f>
        <v>ph</v>
      </c>
      <c r="H6" s="509" t="str" cm="1">
        <f t="array" ref="H6">IFERROR( INDEX(鍵盤設計表[注音二式], MATCH(TRUE, EXACT(注音編碼對照表[[#This Row],[方音符號]], 鍵盤設計表[方音符號]),0)),"")</f>
        <v>p</v>
      </c>
      <c r="I6" s="509" t="str" cm="1">
        <f t="array" ref="I6">IFERROR( INDEX(鍵盤設計表[閩拼方案], MATCH(TRUE, EXACT(注音編碼對照表[[#This Row],[方音符號]], 鍵盤設計表[方音符號]),0)), "")</f>
        <v>p</v>
      </c>
      <c r="J6" s="839" t="str" cm="1">
        <f t="array" ref="J6">IFERROR( INDEX(鍵盤設計表[聲韻調], MATCH(TRUE, EXACT(注音編碼對照表[[#This Row],[方音符號]], 鍵盤設計表[方音符號]),0)), "")</f>
        <v>聲</v>
      </c>
      <c r="L6"/>
      <c r="M6" s="370"/>
      <c r="Q6"/>
      <c r="R6"/>
      <c r="T6"/>
      <c r="W6"/>
    </row>
    <row r="7" spans="2:23" ht="32.25">
      <c r="B7" s="779">
        <f t="shared" si="0"/>
        <v>5</v>
      </c>
      <c r="C7" s="73" t="s">
        <v>338</v>
      </c>
      <c r="D7" s="841" t="s">
        <v>33</v>
      </c>
      <c r="E7" s="424" t="s">
        <v>34</v>
      </c>
      <c r="F7" s="772" t="s">
        <v>372</v>
      </c>
      <c r="G7" s="786" t="str" cm="1">
        <f t="array" ref="G7">IFERROR( INDEX(鍵盤設計表[台語音標], MATCH(TRUE, EXACT(注音編碼對照表[[#This Row],[方音符號]], 鍵盤設計表[方音符號]),0)), "")</f>
        <v>n</v>
      </c>
      <c r="H7" s="509" t="str" cm="1">
        <f t="array" ref="H7">IFERROR( INDEX(鍵盤設計表[注音二式], MATCH(TRUE, EXACT(注音編碼對照表[[#This Row],[方音符號]], 鍵盤設計表[方音符號]),0)),"")</f>
        <v>n</v>
      </c>
      <c r="I7" s="509" t="str" cm="1">
        <f t="array" ref="I7">IFERROR( INDEX(鍵盤設計表[閩拼方案], MATCH(TRUE, EXACT(注音編碼對照表[[#This Row],[方音符號]], 鍵盤設計表[方音符號]),0)), "")</f>
        <v>ln</v>
      </c>
      <c r="J7" s="839" t="str" cm="1">
        <f t="array" ref="J7">IFERROR( INDEX(鍵盤設計表[聲韻調], MATCH(TRUE, EXACT(注音編碼對照表[[#This Row],[方音符號]], 鍵盤設計表[方音符號]),0)), "")</f>
        <v>聲</v>
      </c>
      <c r="L7"/>
      <c r="M7" s="370"/>
      <c r="Q7"/>
      <c r="R7"/>
      <c r="T7"/>
      <c r="W7"/>
    </row>
    <row r="8" spans="2:23" ht="32.25">
      <c r="B8" s="779">
        <f t="shared" si="0"/>
        <v>6</v>
      </c>
      <c r="C8" s="73" t="s">
        <v>347</v>
      </c>
      <c r="D8" s="841" t="s">
        <v>29</v>
      </c>
      <c r="E8" s="424" t="s">
        <v>309</v>
      </c>
      <c r="F8" s="772" t="s">
        <v>340</v>
      </c>
      <c r="G8" s="786" t="str" cm="1">
        <f t="array" ref="G8">IFERROR( INDEX(鍵盤設計表[台語音標], MATCH(TRUE, EXACT(注音編碼對照表[[#This Row],[方音符號]], 鍵盤設計表[方音符號]),0)), "")</f>
        <v>t</v>
      </c>
      <c r="H8" s="509" t="str" cm="1">
        <f t="array" ref="H8">IFERROR( INDEX(鍵盤設計表[注音二式], MATCH(TRUE, EXACT(注音編碼對照表[[#This Row],[方音符號]], 鍵盤設計表[方音符號]),0)),"")</f>
        <v>d</v>
      </c>
      <c r="I8" s="509" t="str" cm="1">
        <f t="array" ref="I8">IFERROR( INDEX(鍵盤設計表[閩拼方案], MATCH(TRUE, EXACT(注音編碼對照表[[#This Row],[方音符號]], 鍵盤設計表[方音符號]),0)), "")</f>
        <v>d</v>
      </c>
      <c r="J8" s="839" t="str" cm="1">
        <f t="array" ref="J8">IFERROR( INDEX(鍵盤設計表[聲韻調], MATCH(TRUE, EXACT(注音編碼對照表[[#This Row],[方音符號]], 鍵盤設計表[方音符號]),0)), "")</f>
        <v>聲</v>
      </c>
      <c r="L8"/>
      <c r="M8" s="370"/>
      <c r="Q8"/>
      <c r="R8"/>
      <c r="T8"/>
      <c r="W8"/>
    </row>
    <row r="9" spans="2:23" ht="32.25">
      <c r="B9" s="779">
        <f t="shared" si="0"/>
        <v>7</v>
      </c>
      <c r="C9" s="73" t="s">
        <v>341</v>
      </c>
      <c r="D9" s="841" t="s">
        <v>31</v>
      </c>
      <c r="E9" s="424" t="s">
        <v>30</v>
      </c>
      <c r="F9" s="772" t="s">
        <v>709</v>
      </c>
      <c r="G9" s="786" t="str" cm="1">
        <f t="array" ref="G9">IFERROR( INDEX(鍵盤設計表[台語音標], MATCH(TRUE, EXACT(注音編碼對照表[[#This Row],[方音符號]], 鍵盤設計表[方音符號]),0)), "")</f>
        <v>th</v>
      </c>
      <c r="H9" s="509" t="str" cm="1">
        <f t="array" ref="H9">IFERROR( INDEX(鍵盤設計表[注音二式], MATCH(TRUE, EXACT(注音編碼對照表[[#This Row],[方音符號]], 鍵盤設計表[方音符號]),0)),"")</f>
        <v>t</v>
      </c>
      <c r="I9" s="509" t="str" cm="1">
        <f t="array" ref="I9">IFERROR( INDEX(鍵盤設計表[閩拼方案], MATCH(TRUE, EXACT(注音編碼對照表[[#This Row],[方音符號]], 鍵盤設計表[方音符號]),0)), "")</f>
        <v>t</v>
      </c>
      <c r="J9" s="839" t="str" cm="1">
        <f t="array" ref="J9">IFERROR( INDEX(鍵盤設計表[聲韻調], MATCH(TRUE, EXACT(注音編碼對照表[[#This Row],[方音符號]], 鍵盤設計表[方音符號]),0)), "")</f>
        <v>聲</v>
      </c>
      <c r="L9"/>
      <c r="M9" s="370"/>
      <c r="Q9"/>
      <c r="R9"/>
      <c r="T9"/>
      <c r="W9"/>
    </row>
    <row r="10" spans="2:23" ht="32.25">
      <c r="B10" s="779">
        <f t="shared" si="0"/>
        <v>8</v>
      </c>
      <c r="C10" s="73" t="s">
        <v>332</v>
      </c>
      <c r="D10" s="841" t="s">
        <v>85</v>
      </c>
      <c r="E10" s="424" t="s">
        <v>86</v>
      </c>
      <c r="F10" s="772" t="s">
        <v>496</v>
      </c>
      <c r="G10" s="786" t="str" cm="1">
        <f t="array" ref="G10">IFERROR( INDEX(鍵盤設計表[台語音標], MATCH(TRUE, EXACT(注音編碼對照表[[#This Row],[方音符號]], 鍵盤設計表[方音符號]),0)), "")</f>
        <v>l</v>
      </c>
      <c r="H10" s="509" t="str" cm="1">
        <f t="array" ref="H10">IFERROR( INDEX(鍵盤設計表[注音二式], MATCH(TRUE, EXACT(注音編碼對照表[[#This Row],[方音符號]], 鍵盤設計表[方音符號]),0)),"")</f>
        <v>l</v>
      </c>
      <c r="I10" s="509" t="str" cm="1">
        <f t="array" ref="I10">IFERROR( INDEX(鍵盤設計表[閩拼方案], MATCH(TRUE, EXACT(注音編碼對照表[[#This Row],[方音符號]], 鍵盤設計表[方音符號]),0)), "")</f>
        <v>l</v>
      </c>
      <c r="J10" s="839" t="str" cm="1">
        <f t="array" ref="J10">IFERROR( INDEX(鍵盤設計表[聲韻調], MATCH(TRUE, EXACT(注音編碼對照表[[#This Row],[方音符號]], 鍵盤設計表[方音符號]),0)), "")</f>
        <v>聲</v>
      </c>
      <c r="L10"/>
      <c r="M10" s="370"/>
      <c r="Q10"/>
      <c r="R10"/>
      <c r="T10"/>
      <c r="W10"/>
    </row>
    <row r="11" spans="2:23" ht="32.25">
      <c r="B11" s="779">
        <f t="shared" si="0"/>
        <v>9</v>
      </c>
      <c r="C11" s="73" t="s">
        <v>569</v>
      </c>
      <c r="D11" s="843" t="s">
        <v>625</v>
      </c>
      <c r="E11" s="812" t="s">
        <v>8595</v>
      </c>
      <c r="F11" s="772" t="s">
        <v>711</v>
      </c>
      <c r="G11" s="786" t="str" cm="1">
        <f t="array" ref="G11">IFERROR( INDEX(鍵盤設計表[台語音標], MATCH(TRUE, EXACT(注音編碼對照表[[#This Row],[方音符號]], 鍵盤設計表[方音符號]),0)), "")</f>
        <v>ng</v>
      </c>
      <c r="H11" s="509" t="str" cm="1">
        <f t="array" ref="H11">IFERROR( INDEX(鍵盤設計表[注音二式], MATCH(TRUE, EXACT(注音編碼對照表[[#This Row],[方音符號]], 鍵盤設計表[方音符號]),0)),"")</f>
        <v>ng</v>
      </c>
      <c r="I11" s="509" t="str" cm="1">
        <f t="array" ref="I11">IFERROR( INDEX(鍵盤設計表[閩拼方案], MATCH(TRUE, EXACT(注音編碼對照表[[#This Row],[方音符號]], 鍵盤設計表[方音符號]),0)), "")</f>
        <v>ggn</v>
      </c>
      <c r="J11" s="839" t="str" cm="1">
        <f t="array" ref="J11">IFERROR( INDEX(鍵盤設計表[聲韻調], MATCH(TRUE, EXACT(注音編碼對照表[[#This Row],[方音符號]], 鍵盤設計表[方音符號]),0)), "")</f>
        <v>聲</v>
      </c>
      <c r="L11"/>
      <c r="Q11"/>
      <c r="R11"/>
      <c r="T11"/>
      <c r="W11"/>
    </row>
    <row r="12" spans="2:23" ht="32.25">
      <c r="B12" s="779">
        <f t="shared" si="0"/>
        <v>10</v>
      </c>
      <c r="C12" s="73" t="s">
        <v>322</v>
      </c>
      <c r="D12" s="841" t="s">
        <v>41</v>
      </c>
      <c r="E12" s="812" t="s">
        <v>443</v>
      </c>
      <c r="F12" s="772" t="s">
        <v>42</v>
      </c>
      <c r="G12" s="786" t="str" cm="1">
        <f t="array" ref="G12">IFERROR( INDEX(鍵盤設計表[台語音標], MATCH(TRUE, EXACT(注音編碼對照表[[#This Row],[方音符號]], 鍵盤設計表[方音符號]),0)), "")</f>
        <v>g</v>
      </c>
      <c r="H12" s="509" t="str" cm="1">
        <f t="array" ref="H12">IFERROR( INDEX(鍵盤設計表[注音二式], MATCH(TRUE, EXACT(注音編碼對照表[[#This Row],[方音符號]], 鍵盤設計表[方音符號]),0)),"")</f>
        <v>gg</v>
      </c>
      <c r="I12" s="509" t="str" cm="1">
        <f t="array" ref="I12">IFERROR( INDEX(鍵盤設計表[閩拼方案], MATCH(TRUE, EXACT(注音編碼對照表[[#This Row],[方音符號]], 鍵盤設計表[方音符號]),0)), "")</f>
        <v>gg</v>
      </c>
      <c r="J12" s="839" t="str" cm="1">
        <f t="array" ref="J12">IFERROR( INDEX(鍵盤設計表[聲韻調], MATCH(TRUE, EXACT(注音編碼對照表[[#This Row],[方音符號]], 鍵盤設計表[方音符號]),0)), "")</f>
        <v>聲</v>
      </c>
      <c r="L12"/>
      <c r="Q12"/>
      <c r="R12"/>
      <c r="T12"/>
      <c r="W12"/>
    </row>
    <row r="13" spans="2:23" ht="32.25">
      <c r="B13" s="779">
        <f t="shared" si="0"/>
        <v>11</v>
      </c>
      <c r="C13" s="73" t="s">
        <v>329</v>
      </c>
      <c r="D13" s="841" t="s">
        <v>36</v>
      </c>
      <c r="E13" s="424" t="s">
        <v>184</v>
      </c>
      <c r="F13" s="772" t="s">
        <v>321</v>
      </c>
      <c r="G13" s="786" t="str" cm="1">
        <f t="array" ref="G13">IFERROR( INDEX(鍵盤設計表[台語音標], MATCH(TRUE, EXACT(注音編碼對照表[[#This Row],[方音符號]], 鍵盤設計表[方音符號]),0)), "")</f>
        <v>k</v>
      </c>
      <c r="H13" s="509" t="str" cm="1">
        <f t="array" ref="H13">IFERROR( INDEX(鍵盤設計表[注音二式], MATCH(TRUE, EXACT(注音編碼對照表[[#This Row],[方音符號]], 鍵盤設計表[方音符號]),0)),"")</f>
        <v>g</v>
      </c>
      <c r="I13" s="509" t="str" cm="1">
        <f t="array" ref="I13">IFERROR( INDEX(鍵盤設計表[閩拼方案], MATCH(TRUE, EXACT(注音編碼對照表[[#This Row],[方音符號]], 鍵盤設計表[方音符號]),0)), "")</f>
        <v>g</v>
      </c>
      <c r="J13" s="839" t="str" cm="1">
        <f t="array" ref="J13">IFERROR( INDEX(鍵盤設計表[聲韻調], MATCH(TRUE, EXACT(注音編碼對照表[[#This Row],[方音符號]], 鍵盤設計表[方音符號]),0)), "")</f>
        <v>聲</v>
      </c>
      <c r="L13"/>
      <c r="Q13"/>
      <c r="R13"/>
      <c r="T13"/>
      <c r="W13"/>
    </row>
    <row r="14" spans="2:23" ht="32.25">
      <c r="B14" s="779">
        <f t="shared" si="0"/>
        <v>12</v>
      </c>
      <c r="C14" s="73" t="s">
        <v>309</v>
      </c>
      <c r="D14" s="841" t="s">
        <v>38</v>
      </c>
      <c r="E14" s="424" t="s">
        <v>37</v>
      </c>
      <c r="F14" s="772" t="s">
        <v>710</v>
      </c>
      <c r="G14" s="786" t="str" cm="1">
        <f t="array" ref="G14">IFERROR( INDEX(鍵盤設計表[台語音標], MATCH(TRUE, EXACT(注音編碼對照表[[#This Row],[方音符號]], 鍵盤設計表[方音符號]),0)), "")</f>
        <v>kh</v>
      </c>
      <c r="H14" s="509" t="str" cm="1">
        <f t="array" ref="H14">IFERROR( INDEX(鍵盤設計表[注音二式], MATCH(TRUE, EXACT(注音編碼對照表[[#This Row],[方音符號]], 鍵盤設計表[方音符號]),0)),"")</f>
        <v>k</v>
      </c>
      <c r="I14" s="509" t="str" cm="1">
        <f t="array" ref="I14">IFERROR( INDEX(鍵盤設計表[閩拼方案], MATCH(TRUE, EXACT(注音編碼對照表[[#This Row],[方音符號]], 鍵盤設計表[方音符號]),0)), "")</f>
        <v>k</v>
      </c>
      <c r="J14" s="839" t="str" cm="1">
        <f t="array" ref="J14">IFERROR( INDEX(鍵盤設計表[聲韻調], MATCH(TRUE, EXACT(注音編碼對照表[[#This Row],[方音符號]], 鍵盤設計表[方音符號]),0)), "")</f>
        <v>聲</v>
      </c>
      <c r="L14"/>
      <c r="Q14"/>
      <c r="R14"/>
      <c r="T14"/>
      <c r="W14"/>
    </row>
    <row r="15" spans="2:23" ht="32.25">
      <c r="B15" s="779">
        <f t="shared" si="0"/>
        <v>13</v>
      </c>
      <c r="C15" s="73" t="s">
        <v>447</v>
      </c>
      <c r="D15" s="841" t="s">
        <v>442</v>
      </c>
      <c r="E15" s="424" t="s">
        <v>449</v>
      </c>
      <c r="F15" s="772" t="s">
        <v>702</v>
      </c>
      <c r="G15" s="786" t="str" cm="1">
        <f t="array" ref="G15">IFERROR( INDEX(鍵盤設計表[台語音標], MATCH(TRUE, EXACT(注音編碼對照表[[#This Row],[方音符號]], 鍵盤設計表[方音符號]),0)), "")</f>
        <v>j</v>
      </c>
      <c r="H15" s="509" t="str" cm="1">
        <f t="array" ref="H15">IFERROR( INDEX(鍵盤設計表[注音二式], MATCH(TRUE, EXACT(注音編碼對照表[[#This Row],[方音符號]], 鍵盤設計表[方音符號]),0)),"")</f>
        <v>zz</v>
      </c>
      <c r="I15" s="509" t="str" cm="1">
        <f t="array" ref="I15">IFERROR( INDEX(鍵盤設計表[閩拼方案], MATCH(TRUE, EXACT(注音編碼對照表[[#This Row],[方音符號]], 鍵盤設計表[方音符號]),0)), "")</f>
        <v>zz</v>
      </c>
      <c r="J15" s="839" t="str" cm="1">
        <f t="array" ref="J15">IFERROR( INDEX(鍵盤設計表[聲韻調], MATCH(TRUE, EXACT(注音編碼對照表[[#This Row],[方音符號]], 鍵盤設計表[方音符號]),0)), "")</f>
        <v>聲</v>
      </c>
      <c r="L15"/>
      <c r="Q15"/>
      <c r="R15"/>
      <c r="T15"/>
      <c r="W15"/>
    </row>
    <row r="16" spans="2:23" ht="32.25">
      <c r="B16" s="779">
        <f t="shared" si="0"/>
        <v>14</v>
      </c>
      <c r="C16" s="73" t="s">
        <v>588</v>
      </c>
      <c r="D16" s="843" t="s">
        <v>43</v>
      </c>
      <c r="E16" s="424" t="s">
        <v>179</v>
      </c>
      <c r="F16" s="772" t="s">
        <v>701</v>
      </c>
      <c r="G16" s="786" t="str" cm="1">
        <f t="array" ref="G16">IFERROR( INDEX(鍵盤設計表[台語音標], MATCH(TRUE, EXACT(注音編碼對照表[[#This Row],[方音符號]], 鍵盤設計表[方音符號]),0)), "")</f>
        <v>z</v>
      </c>
      <c r="H16" s="509" t="str" cm="1">
        <f t="array" ref="H16">IFERROR( INDEX(鍵盤設計表[注音二式], MATCH(TRUE, EXACT(注音編碼對照表[[#This Row],[方音符號]], 鍵盤設計表[方音符號]),0)),"")</f>
        <v>z</v>
      </c>
      <c r="I16" s="509" t="str" cm="1">
        <f t="array" ref="I16">IFERROR( INDEX(鍵盤設計表[閩拼方案], MATCH(TRUE, EXACT(注音編碼對照表[[#This Row],[方音符號]], 鍵盤設計表[方音符號]),0)), "")</f>
        <v>z</v>
      </c>
      <c r="J16" s="839" t="str" cm="1">
        <f t="array" ref="J16">IFERROR( INDEX(鍵盤設計表[聲韻調], MATCH(TRUE, EXACT(注音編碼對照表[[#This Row],[方音符號]], 鍵盤設計表[方音符號]),0)), "")</f>
        <v>聲</v>
      </c>
      <c r="L16"/>
      <c r="Q16"/>
      <c r="R16"/>
      <c r="T16"/>
      <c r="W16"/>
    </row>
    <row r="17" spans="2:23" ht="32.25">
      <c r="B17" s="779">
        <f t="shared" si="0"/>
        <v>15</v>
      </c>
      <c r="C17" s="73" t="s">
        <v>422</v>
      </c>
      <c r="D17" s="843" t="s">
        <v>46</v>
      </c>
      <c r="E17" s="424" t="s">
        <v>305</v>
      </c>
      <c r="F17" s="772" t="s">
        <v>700</v>
      </c>
      <c r="G17" s="786" t="str" cm="1">
        <f t="array" ref="G17">IFERROR( INDEX(鍵盤設計表[台語音標], MATCH(TRUE, EXACT(注音編碼對照表[[#This Row],[方音符號]], 鍵盤設計表[方音符號]),0)), "")</f>
        <v>c</v>
      </c>
      <c r="H17" s="509" t="str" cm="1">
        <f t="array" ref="H17">IFERROR( INDEX(鍵盤設計表[注音二式], MATCH(TRUE, EXACT(注音編碼對照表[[#This Row],[方音符號]], 鍵盤設計表[方音符號]),0)),"")</f>
        <v>c</v>
      </c>
      <c r="I17" s="509" t="str" cm="1">
        <f t="array" ref="I17">IFERROR( INDEX(鍵盤設計表[閩拼方案], MATCH(TRUE, EXACT(注音編碼對照表[[#This Row],[方音符號]], 鍵盤設計表[方音符號]),0)), "")</f>
        <v>c</v>
      </c>
      <c r="J17" s="839" t="str" cm="1">
        <f t="array" ref="J17">IFERROR( INDEX(鍵盤設計表[聲韻調], MATCH(TRUE, EXACT(注音編碼對照表[[#This Row],[方音符號]], 鍵盤設計表[方音符號]),0)), "")</f>
        <v>聲</v>
      </c>
      <c r="L17"/>
      <c r="Q17"/>
      <c r="R17"/>
      <c r="T17"/>
      <c r="W17"/>
    </row>
    <row r="18" spans="2:23" ht="32.25">
      <c r="B18" s="779">
        <f t="shared" si="0"/>
        <v>16</v>
      </c>
      <c r="C18" s="73" t="s">
        <v>34</v>
      </c>
      <c r="D18" s="843" t="s">
        <v>50</v>
      </c>
      <c r="E18" s="424" t="s">
        <v>338</v>
      </c>
      <c r="F18" s="772" t="s">
        <v>51</v>
      </c>
      <c r="G18" s="786" t="str" cm="1">
        <f t="array" ref="G18">IFERROR( INDEX(鍵盤設計表[台語音標], MATCH(TRUE, EXACT(注音編碼對照表[[#This Row],[方音符號]], 鍵盤設計表[方音符號]),0)), "")</f>
        <v>s</v>
      </c>
      <c r="H18" s="509" t="str" cm="1">
        <f t="array" ref="H18">IFERROR( INDEX(鍵盤設計表[注音二式], MATCH(TRUE, EXACT(注音編碼對照表[[#This Row],[方音符號]], 鍵盤設計表[方音符號]),0)),"")</f>
        <v>s</v>
      </c>
      <c r="I18" s="509" t="str" cm="1">
        <f t="array" ref="I18">IFERROR( INDEX(鍵盤設計表[閩拼方案], MATCH(TRUE, EXACT(注音編碼對照表[[#This Row],[方音符號]], 鍵盤設計表[方音符號]),0)), "")</f>
        <v>s</v>
      </c>
      <c r="J18" s="839" t="str" cm="1">
        <f t="array" ref="J18">IFERROR( INDEX(鍵盤設計表[聲韻調], MATCH(TRUE, EXACT(注音編碼對照表[[#This Row],[方音符號]], 鍵盤設計表[方音符號]),0)), "")</f>
        <v>聲</v>
      </c>
      <c r="L18"/>
      <c r="Q18"/>
      <c r="R18"/>
      <c r="T18"/>
      <c r="W18"/>
    </row>
    <row r="19" spans="2:23" ht="32.25">
      <c r="B19" s="779">
        <f t="shared" si="0"/>
        <v>17</v>
      </c>
      <c r="C19" s="73" t="s">
        <v>560</v>
      </c>
      <c r="D19" s="844" t="s">
        <v>109</v>
      </c>
      <c r="E19" s="812" t="s">
        <v>249</v>
      </c>
      <c r="F19" s="772" t="s">
        <v>893</v>
      </c>
      <c r="G19" s="786" t="str" cm="1">
        <f t="array" ref="G19">IFERROR( INDEX(鍵盤設計表[台語音標], MATCH(TRUE, EXACT(注音編碼對照表[[#This Row],[方音符號]], 鍵盤設計表[方音符號]),0)), "")</f>
        <v>ji</v>
      </c>
      <c r="H19" s="509" t="str" cm="1">
        <f t="array" ref="H19">IFERROR( INDEX(鍵盤設計表[注音二式], MATCH(TRUE, EXACT(注音編碼對照表[[#This Row],[方音符號]], 鍵盤設計表[方音符號]),0)),"")</f>
        <v>jj</v>
      </c>
      <c r="I19" s="509" t="str" cm="1">
        <f t="array" ref="I19">IFERROR( INDEX(鍵盤設計表[閩拼方案], MATCH(TRUE, EXACT(注音編碼對照表[[#This Row],[方音符號]], 鍵盤設計表[方音符號]),0)), "")</f>
        <v>jj</v>
      </c>
      <c r="J19" s="839" t="str" cm="1">
        <f t="array" ref="J19">IFERROR( INDEX(鍵盤設計表[聲韻調], MATCH(TRUE, EXACT(注音編碼對照表[[#This Row],[方音符號]], 鍵盤設計表[方音符號]),0)), "")</f>
        <v>聲</v>
      </c>
      <c r="L19"/>
      <c r="Q19"/>
      <c r="R19"/>
      <c r="T19"/>
      <c r="W19"/>
    </row>
    <row r="20" spans="2:23" ht="32.25">
      <c r="B20" s="779">
        <f t="shared" si="0"/>
        <v>18</v>
      </c>
      <c r="C20" s="73" t="s">
        <v>283</v>
      </c>
      <c r="D20" s="844" t="s">
        <v>89</v>
      </c>
      <c r="E20" s="812" t="s">
        <v>254</v>
      </c>
      <c r="F20" s="772" t="s">
        <v>90</v>
      </c>
      <c r="G20" s="786" t="str" cm="1">
        <f t="array" ref="G20">IFERROR( INDEX(鍵盤設計表[台語音標], MATCH(TRUE, EXACT(注音編碼對照表[[#This Row],[方音符號]], 鍵盤設計表[方音符號]),0)), "")</f>
        <v>zi</v>
      </c>
      <c r="H20" s="509" t="str" cm="1">
        <f t="array" ref="H20">IFERROR( INDEX(鍵盤設計表[注音二式], MATCH(TRUE, EXACT(注音編碼對照表[[#This Row],[方音符號]], 鍵盤設計表[方音符號]),0)),"")</f>
        <v>j</v>
      </c>
      <c r="I20" s="509" t="str" cm="1">
        <f t="array" ref="I20">IFERROR( INDEX(鍵盤設計表[閩拼方案], MATCH(TRUE, EXACT(注音編碼對照表[[#This Row],[方音符號]], 鍵盤設計表[方音符號]),0)), "")</f>
        <v>j</v>
      </c>
      <c r="J20" s="839" t="str" cm="1">
        <f t="array" ref="J20">IFERROR( INDEX(鍵盤設計表[聲韻調], MATCH(TRUE, EXACT(注音編碼對照表[[#This Row],[方音符號]], 鍵盤設計表[方音符號]),0)), "")</f>
        <v>聲</v>
      </c>
      <c r="L20"/>
      <c r="Q20"/>
      <c r="R20"/>
      <c r="T20"/>
      <c r="W20"/>
    </row>
    <row r="21" spans="2:23" ht="32.25">
      <c r="B21" s="779">
        <f t="shared" si="0"/>
        <v>19</v>
      </c>
      <c r="C21" s="73" t="s">
        <v>600</v>
      </c>
      <c r="D21" s="844" t="s">
        <v>91</v>
      </c>
      <c r="E21" s="424" t="s">
        <v>456</v>
      </c>
      <c r="F21" s="772" t="s">
        <v>892</v>
      </c>
      <c r="G21" s="786" t="str" cm="1">
        <f t="array" ref="G21">IFERROR( INDEX(鍵盤設計表[台語音標], MATCH(TRUE, EXACT(注音編碼對照表[[#This Row],[方音符號]], 鍵盤設計表[方音符號]),0)), "")</f>
        <v>ci</v>
      </c>
      <c r="H21" s="509" t="str" cm="1">
        <f t="array" ref="H21">IFERROR( INDEX(鍵盤設計表[注音二式], MATCH(TRUE, EXACT(注音編碼對照表[[#This Row],[方音符號]], 鍵盤設計表[方音符號]),0)),"")</f>
        <v>ch</v>
      </c>
      <c r="I21" s="509" t="str" cm="1">
        <f t="array" ref="I21">IFERROR( INDEX(鍵盤設計表[閩拼方案], MATCH(TRUE, EXACT(注音編碼對照表[[#This Row],[方音符號]], 鍵盤設計表[方音符號]),0)), "")</f>
        <v>ch</v>
      </c>
      <c r="J21" s="839" t="str" cm="1">
        <f t="array" ref="J21">IFERROR( INDEX(鍵盤設計表[聲韻調], MATCH(TRUE, EXACT(注音編碼對照表[[#This Row],[方音符號]], 鍵盤設計表[方音符號]),0)), "")</f>
        <v>聲</v>
      </c>
      <c r="L21"/>
      <c r="Q21"/>
      <c r="R21"/>
      <c r="T21"/>
      <c r="W21"/>
    </row>
    <row r="22" spans="2:23" ht="32.25">
      <c r="B22" s="779">
        <f t="shared" si="0"/>
        <v>20</v>
      </c>
      <c r="C22" s="73" t="s">
        <v>601</v>
      </c>
      <c r="D22" s="844" t="s">
        <v>284</v>
      </c>
      <c r="E22" s="424" t="s">
        <v>460</v>
      </c>
      <c r="F22" s="772" t="s">
        <v>94</v>
      </c>
      <c r="G22" s="786" t="str" cm="1">
        <f t="array" ref="G22">IFERROR( INDEX(鍵盤設計表[台語音標], MATCH(TRUE, EXACT(注音編碼對照表[[#This Row],[方音符號]], 鍵盤設計表[方音符號]),0)), "")</f>
        <v>si</v>
      </c>
      <c r="H22" s="509" t="str" cm="1">
        <f t="array" ref="H22">IFERROR( INDEX(鍵盤設計表[注音二式], MATCH(TRUE, EXACT(注音編碼對照表[[#This Row],[方音符號]], 鍵盤設計表[方音符號]),0)),"")</f>
        <v>sh</v>
      </c>
      <c r="I22" s="509" t="str" cm="1">
        <f t="array" ref="I22">IFERROR( INDEX(鍵盤設計表[閩拼方案], MATCH(TRUE, EXACT(注音編碼對照表[[#This Row],[方音符號]], 鍵盤設計表[方音符號]),0)), "")</f>
        <v>sh</v>
      </c>
      <c r="J22" s="839" t="str" cm="1">
        <f t="array" ref="J22">IFERROR( INDEX(鍵盤設計表[聲韻調], MATCH(TRUE, EXACT(注音編碼對照表[[#This Row],[方音符號]], 鍵盤設計表[方音符號]),0)), "")</f>
        <v>聲</v>
      </c>
      <c r="L22"/>
      <c r="Q22"/>
      <c r="R22"/>
      <c r="T22"/>
      <c r="W22"/>
    </row>
    <row r="23" spans="2:23" ht="32.25">
      <c r="B23" s="779">
        <f t="shared" si="0"/>
        <v>21</v>
      </c>
      <c r="C23" s="73" t="s">
        <v>305</v>
      </c>
      <c r="D23" s="841" t="s">
        <v>52</v>
      </c>
      <c r="E23" s="424" t="s">
        <v>422</v>
      </c>
      <c r="F23" s="772" t="s">
        <v>53</v>
      </c>
      <c r="G23" s="786" t="str" cm="1">
        <f t="array" ref="G23">IFERROR( INDEX(鍵盤設計表[台語音標], MATCH(TRUE, EXACT(注音編碼對照表[[#This Row],[方音符號]], 鍵盤設計表[方音符號]),0)), "")</f>
        <v>h</v>
      </c>
      <c r="H23" s="509" t="str" cm="1">
        <f t="array" ref="H23">IFERROR( INDEX(鍵盤設計表[注音二式], MATCH(TRUE, EXACT(注音編碼對照表[[#This Row],[方音符號]], 鍵盤設計表[方音符號]),0)),"")</f>
        <v>h</v>
      </c>
      <c r="I23" s="509" t="str" cm="1">
        <f t="array" ref="I23">IFERROR( INDEX(鍵盤設計表[閩拼方案], MATCH(TRUE, EXACT(注音編碼對照表[[#This Row],[方音符號]], 鍵盤設計表[方音符號]),0)), "")</f>
        <v>h</v>
      </c>
      <c r="J23" s="839" t="str" cm="1">
        <f t="array" ref="J23">IFERROR( INDEX(鍵盤設計表[聲韻調], MATCH(TRUE, EXACT(注音編碼對照表[[#This Row],[方音符號]], 鍵盤設計表[方音符號]),0)), "")</f>
        <v>聲</v>
      </c>
      <c r="L23"/>
      <c r="Q23"/>
      <c r="R23"/>
      <c r="T23"/>
      <c r="W23"/>
    </row>
    <row r="24" spans="2:23" ht="32.25">
      <c r="B24" s="775">
        <f t="shared" si="0"/>
        <v>22</v>
      </c>
      <c r="C24" s="73" t="s">
        <v>589</v>
      </c>
      <c r="D24" s="841" t="s">
        <v>58</v>
      </c>
      <c r="E24" s="424" t="s">
        <v>351</v>
      </c>
      <c r="F24" s="772" t="s">
        <v>59</v>
      </c>
      <c r="G24" s="786" t="str" cm="1">
        <f t="array" ref="G24">IFERROR( INDEX(鍵盤設計表[台語音標], MATCH(TRUE, EXACT(注音編碼對照表[[#This Row],[方音符號]], 鍵盤設計表[方音符號]),0)), "")</f>
        <v>a</v>
      </c>
      <c r="H24" s="509" t="str" cm="1">
        <f t="array" ref="H24">IFERROR( INDEX(鍵盤設計表[注音二式], MATCH(TRUE, EXACT(注音編碼對照表[[#This Row],[方音符號]], 鍵盤設計表[方音符號]),0)),"")</f>
        <v>a</v>
      </c>
      <c r="I24" s="509" t="str" cm="1">
        <f t="array" ref="I24">IFERROR( INDEX(鍵盤設計表[閩拼方案], MATCH(TRUE, EXACT(注音編碼對照表[[#This Row],[方音符號]], 鍵盤設計表[方音符號]),0)), "")</f>
        <v>a</v>
      </c>
      <c r="J24" s="839" t="str" cm="1">
        <f t="array" ref="J24">IFERROR( INDEX(鍵盤設計表[聲韻調], MATCH(TRUE, EXACT(注音編碼對照表[[#This Row],[方音符號]], 鍵盤設計表[方音符號]),0)), "")</f>
        <v>韻</v>
      </c>
      <c r="L24"/>
      <c r="Q24"/>
      <c r="R24"/>
      <c r="T24"/>
      <c r="W24"/>
    </row>
    <row r="25" spans="2:23" ht="32.25">
      <c r="B25" s="775">
        <f t="shared" si="0"/>
        <v>23</v>
      </c>
      <c r="C25" s="73" t="s">
        <v>196</v>
      </c>
      <c r="D25" s="843" t="s">
        <v>54</v>
      </c>
      <c r="E25" s="424" t="s">
        <v>279</v>
      </c>
      <c r="F25" s="772" t="s">
        <v>55</v>
      </c>
      <c r="G25" s="786" t="str" cm="1">
        <f t="array" ref="G25">IFERROR( INDEX(鍵盤設計表[台語音標], MATCH(TRUE, EXACT(注音編碼對照表[[#This Row],[方音符號]], 鍵盤設計表[方音符號]),0)), "")</f>
        <v>i</v>
      </c>
      <c r="H25" s="509" t="str" cm="1">
        <f t="array" ref="H25">IFERROR( INDEX(鍵盤設計表[注音二式], MATCH(TRUE, EXACT(注音編碼對照表[[#This Row],[方音符號]], 鍵盤設計表[方音符號]),0)),"")</f>
        <v>i</v>
      </c>
      <c r="I25" s="509" t="str" cm="1">
        <f t="array" ref="I25">IFERROR( INDEX(鍵盤設計表[閩拼方案], MATCH(TRUE, EXACT(注音編碼對照表[[#This Row],[方音符號]], 鍵盤設計表[方音符號]),0)), "")</f>
        <v>i</v>
      </c>
      <c r="J25" s="839" t="str" cm="1">
        <f t="array" ref="J25">IFERROR( INDEX(鍵盤設計表[聲韻調], MATCH(TRUE, EXACT(注音編碼對照表[[#This Row],[方音符號]], 鍵盤設計表[方音符號]),0)), "")</f>
        <v>韻</v>
      </c>
      <c r="L25"/>
      <c r="Q25"/>
      <c r="R25"/>
      <c r="T25"/>
      <c r="W25"/>
    </row>
    <row r="26" spans="2:23" ht="32.25">
      <c r="B26" s="775">
        <f t="shared" si="0"/>
        <v>24</v>
      </c>
      <c r="C26" s="73" t="s">
        <v>425</v>
      </c>
      <c r="D26" s="841" t="s">
        <v>591</v>
      </c>
      <c r="E26" s="424" t="s">
        <v>341</v>
      </c>
      <c r="F26" s="772" t="s">
        <v>8779</v>
      </c>
      <c r="G26" s="786" t="str" cm="1">
        <f t="array" ref="G26">IFERROR( INDEX(鍵盤設計表[台語音標], MATCH(TRUE, EXACT(注音編碼對照表[[#This Row],[方音符號]], 鍵盤設計表[方音符號]),0)), "")</f>
        <v>ir</v>
      </c>
      <c r="H26" s="509" t="str" cm="1">
        <f t="array" ref="H26">IFERROR( INDEX(鍵盤設計表[注音二式], MATCH(TRUE, EXACT(注音編碼對照表[[#This Row],[方音符號]], 鍵盤設計表[方音符號]),0)),"")</f>
        <v>ir</v>
      </c>
      <c r="I26" s="509" t="str" cm="1">
        <f t="array" ref="I26">IFERROR( INDEX(鍵盤設計表[閩拼方案], MATCH(TRUE, EXACT(注音編碼對照表[[#This Row],[方音符號]], 鍵盤設計表[方音符號]),0)), "")</f>
        <v>eu</v>
      </c>
      <c r="J26" s="839" t="str" cm="1">
        <f t="array" ref="J26">IFERROR( INDEX(鍵盤設計表[聲韻調], MATCH(TRUE, EXACT(注音編碼對照表[[#This Row],[方音符號]], 鍵盤設計表[方音符號]),0)), "")</f>
        <v>韻</v>
      </c>
      <c r="L26"/>
      <c r="Q26"/>
      <c r="R26"/>
      <c r="T26"/>
      <c r="W26"/>
    </row>
    <row r="27" spans="2:23" ht="32.25">
      <c r="B27" s="775">
        <f t="shared" si="0"/>
        <v>25</v>
      </c>
      <c r="C27" s="73" t="s">
        <v>254</v>
      </c>
      <c r="D27" s="843" t="s">
        <v>56</v>
      </c>
      <c r="E27" s="424" t="s">
        <v>196</v>
      </c>
      <c r="F27" s="772" t="s">
        <v>57</v>
      </c>
      <c r="G27" s="786" t="str" cm="1">
        <f t="array" ref="G27">IFERROR( INDEX(鍵盤設計表[台語音標], MATCH(TRUE, EXACT(注音編碼對照表[[#This Row],[方音符號]], 鍵盤設計表[方音符號]),0)), "")</f>
        <v>u</v>
      </c>
      <c r="H27" s="509" t="str" cm="1">
        <f t="array" ref="H27">IFERROR( INDEX(鍵盤設計表[注音二式], MATCH(TRUE, EXACT(注音編碼對照表[[#This Row],[方音符號]], 鍵盤設計表[方音符號]),0)),"")</f>
        <v>u</v>
      </c>
      <c r="I27" s="509" t="str" cm="1">
        <f t="array" ref="I27">IFERROR( INDEX(鍵盤設計表[閩拼方案], MATCH(TRUE, EXACT(注音編碼對照表[[#This Row],[方音符號]], 鍵盤設計表[方音符號]),0)), "")</f>
        <v>u</v>
      </c>
      <c r="J27" s="839" t="str" cm="1">
        <f t="array" ref="J27">IFERROR( INDEX(鍵盤設計表[聲韻調], MATCH(TRUE, EXACT(注音編碼對照表[[#This Row],[方音符號]], 鍵盤設計表[方音符號]),0)), "")</f>
        <v>韻</v>
      </c>
      <c r="L27"/>
      <c r="Q27"/>
      <c r="R27"/>
      <c r="T27"/>
      <c r="W27"/>
    </row>
    <row r="28" spans="2:23" ht="32.25">
      <c r="B28" s="775">
        <f t="shared" si="0"/>
        <v>26</v>
      </c>
      <c r="C28" s="73" t="s">
        <v>225</v>
      </c>
      <c r="D28" s="843" t="s">
        <v>61</v>
      </c>
      <c r="E28" s="424" t="s">
        <v>329</v>
      </c>
      <c r="F28" s="776" t="s">
        <v>62</v>
      </c>
      <c r="G28" s="786" t="str" cm="1">
        <f t="array" ref="G28">IFERROR( INDEX(鍵盤設計表[台語音標], MATCH(TRUE, EXACT(注音編碼對照表[[#This Row],[方音符號]], 鍵盤設計表[方音符號]),0)), "")</f>
        <v>e</v>
      </c>
      <c r="H28" s="509" t="str" cm="1">
        <f t="array" ref="H28">IFERROR( INDEX(鍵盤設計表[注音二式], MATCH(TRUE, EXACT(注音編碼對照表[[#This Row],[方音符號]], 鍵盤設計表[方音符號]),0)),"")</f>
        <v>e</v>
      </c>
      <c r="I28" s="509" t="str" cm="1">
        <f t="array" ref="I28">IFERROR( INDEX(鍵盤設計表[閩拼方案], MATCH(TRUE, EXACT(注音編碼對照表[[#This Row],[方音符號]], 鍵盤設計表[方音符號]),0)), "")</f>
        <v>e</v>
      </c>
      <c r="J28" s="839" t="str" cm="1">
        <f t="array" ref="J28">IFERROR( INDEX(鍵盤設計表[聲韻調], MATCH(TRUE, EXACT(注音編碼對照表[[#This Row],[方音符號]], 鍵盤設計表[方音符號]),0)), "")</f>
        <v>韻</v>
      </c>
      <c r="L28"/>
      <c r="Q28"/>
      <c r="R28"/>
      <c r="T28"/>
      <c r="W28"/>
    </row>
    <row r="29" spans="2:23" ht="32.25">
      <c r="B29" s="775">
        <f t="shared" si="0"/>
        <v>27</v>
      </c>
      <c r="C29" s="73" t="s">
        <v>279</v>
      </c>
      <c r="D29" s="841" t="s">
        <v>67</v>
      </c>
      <c r="E29" s="424" t="s">
        <v>267</v>
      </c>
      <c r="F29" s="772" t="s">
        <v>712</v>
      </c>
      <c r="G29" s="786" t="str" cm="1">
        <f t="array" ref="G29">IFERROR( INDEX(鍵盤設計表[台語音標], MATCH(TRUE, EXACT(注音編碼對照表[[#This Row],[方音符號]], 鍵盤設計表[方音符號]),0)), "")</f>
        <v>oo</v>
      </c>
      <c r="H29" s="509" t="str" cm="1">
        <f t="array" ref="H29">IFERROR( INDEX(鍵盤設計表[注音二式], MATCH(TRUE, EXACT(注音編碼對照表[[#This Row],[方音符號]], 鍵盤設計表[方音符號]),0)),"")</f>
        <v>oo</v>
      </c>
      <c r="I29" s="509" t="str" cm="1">
        <f t="array" ref="I29">IFERROR( INDEX(鍵盤設計表[閩拼方案], MATCH(TRUE, EXACT(注音編碼對照表[[#This Row],[方音符號]], 鍵盤設計表[方音符號]),0)), "")</f>
        <v>oo</v>
      </c>
      <c r="J29" s="839" t="str" cm="1">
        <f t="array" ref="J29">IFERROR( INDEX(鍵盤設計表[聲韻調], MATCH(TRUE, EXACT(注音編碼對照表[[#This Row],[方音符號]], 鍵盤設計表[方音符號]),0)), "")</f>
        <v>韻</v>
      </c>
      <c r="L29"/>
      <c r="Q29"/>
      <c r="R29"/>
      <c r="T29"/>
      <c r="W29"/>
    </row>
    <row r="30" spans="2:23" ht="32.25">
      <c r="B30" s="775">
        <f t="shared" si="0"/>
        <v>28</v>
      </c>
      <c r="C30" s="73" t="s">
        <v>37</v>
      </c>
      <c r="D30" s="841" t="s">
        <v>473</v>
      </c>
      <c r="E30" s="424" t="s">
        <v>65</v>
      </c>
      <c r="F30" s="772" t="s">
        <v>713</v>
      </c>
      <c r="G30" s="786" t="str" cm="1">
        <f t="array" ref="G30">IFERROR( INDEX(鍵盤設計表[台語音標], MATCH(TRUE, EXACT(注音編碼對照表[[#This Row],[方音符號]], 鍵盤設計表[方音符號]),0)), "")</f>
        <v>o</v>
      </c>
      <c r="H30" s="509" t="str" cm="1">
        <f t="array" ref="H30">IFERROR( INDEX(鍵盤設計表[注音二式], MATCH(TRUE, EXACT(注音編碼對照表[[#This Row],[方音符號]], 鍵盤設計表[方音符號]),0)),"")</f>
        <v>or</v>
      </c>
      <c r="I30" s="509" t="str" cm="1">
        <f t="array" ref="I30">IFERROR( INDEX(鍵盤設計表[閩拼方案], MATCH(TRUE, EXACT(注音編碼對照表[[#This Row],[方音符號]], 鍵盤設計表[方音符號]),0)), "")</f>
        <v>o</v>
      </c>
      <c r="J30" s="839" t="str" cm="1">
        <f t="array" ref="J30">IFERROR( INDEX(鍵盤設計表[聲韻調], MATCH(TRUE, EXACT(注音編碼對照表[[#This Row],[方音符號]], 鍵盤設計表[方音符號]),0)), "")</f>
        <v>韻</v>
      </c>
      <c r="L30"/>
      <c r="Q30"/>
      <c r="R30"/>
      <c r="T30"/>
      <c r="W30"/>
    </row>
    <row r="31" spans="2:23" ht="32.25">
      <c r="B31" s="775">
        <f t="shared" si="0"/>
        <v>29</v>
      </c>
      <c r="C31" s="73" t="s">
        <v>264</v>
      </c>
      <c r="D31" s="843" t="s">
        <v>241</v>
      </c>
      <c r="E31" s="424" t="s">
        <v>275</v>
      </c>
      <c r="F31" s="772" t="s">
        <v>71</v>
      </c>
      <c r="G31" s="786" t="str" cm="1">
        <f t="array" ref="G31">IFERROR( INDEX(鍵盤設計表[台語音標], MATCH(TRUE, EXACT(注音編碼對照表[[#This Row],[方音符號]], 鍵盤設計表[方音符號]),0)), "")</f>
        <v>ai</v>
      </c>
      <c r="H31" s="509" t="str" cm="1">
        <f t="array" ref="H31">IFERROR( INDEX(鍵盤設計表[注音二式], MATCH(TRUE, EXACT(注音編碼對照表[[#This Row],[方音符號]], 鍵盤設計表[方音符號]),0)),"")</f>
        <v>ai</v>
      </c>
      <c r="I31" s="509" t="str" cm="1">
        <f t="array" ref="I31">IFERROR( INDEX(鍵盤設計表[閩拼方案], MATCH(TRUE, EXACT(注音編碼對照表[[#This Row],[方音符號]], 鍵盤設計表[方音符號]),0)), "")</f>
        <v>ai</v>
      </c>
      <c r="J31" s="839" t="str" cm="1">
        <f t="array" ref="J31">IFERROR( INDEX(鍵盤設計表[聲韻調], MATCH(TRUE, EXACT(注音編碼對照表[[#This Row],[方音符號]], 鍵盤設計表[方音符號]),0)), "")</f>
        <v>韻</v>
      </c>
      <c r="L31"/>
      <c r="Q31"/>
      <c r="R31"/>
      <c r="T31"/>
      <c r="W31"/>
    </row>
    <row r="32" spans="2:23" ht="32.25">
      <c r="B32" s="775">
        <f t="shared" si="0"/>
        <v>30</v>
      </c>
      <c r="C32" s="73" t="s">
        <v>86</v>
      </c>
      <c r="D32" s="841" t="s">
        <v>72</v>
      </c>
      <c r="E32" s="424" t="s">
        <v>259</v>
      </c>
      <c r="F32" s="772" t="s">
        <v>73</v>
      </c>
      <c r="G32" s="786" t="str" cm="1">
        <f t="array" ref="G32">IFERROR( INDEX(鍵盤設計表[台語音標], MATCH(TRUE, EXACT(注音編碼對照表[[#This Row],[方音符號]], 鍵盤設計表[方音符號]),0)), "")</f>
        <v>au</v>
      </c>
      <c r="H32" s="509" t="str" cm="1">
        <f t="array" ref="H32">IFERROR( INDEX(鍵盤設計表[注音二式], MATCH(TRUE, EXACT(注音編碼對照表[[#This Row],[方音符號]], 鍵盤設計表[方音符號]),0)),"")</f>
        <v>au</v>
      </c>
      <c r="I32" s="509" t="str" cm="1">
        <f t="array" ref="I32">IFERROR( INDEX(鍵盤設計表[閩拼方案], MATCH(TRUE, EXACT(注音編碼對照表[[#This Row],[方音符號]], 鍵盤設計表[方音符號]),0)), "")</f>
        <v>au</v>
      </c>
      <c r="J32" s="839" t="str" cm="1">
        <f t="array" ref="J32">IFERROR( INDEX(鍵盤設計表[聲韻調], MATCH(TRUE, EXACT(注音編碼對照表[[#This Row],[方音符號]], 鍵盤設計表[方音符號]),0)), "")</f>
        <v>韻</v>
      </c>
      <c r="L32"/>
      <c r="Q32"/>
      <c r="R32"/>
      <c r="T32"/>
      <c r="W32"/>
    </row>
    <row r="33" spans="2:23" ht="32.25">
      <c r="B33" s="775">
        <f t="shared" si="0"/>
        <v>31</v>
      </c>
      <c r="C33" s="73" t="s">
        <v>281</v>
      </c>
      <c r="D33" s="841" t="s">
        <v>115</v>
      </c>
      <c r="E33" s="812" t="s">
        <v>436</v>
      </c>
      <c r="F33" s="772" t="s">
        <v>349</v>
      </c>
      <c r="G33" s="786" t="str" cm="1">
        <f t="array" ref="G33">IFERROR( INDEX(鍵盤設計表[台語音標], MATCH(TRUE, EXACT(注音編碼對照表[[#This Row],[方音符號]], 鍵盤設計表[方音符號]),0)), "")</f>
        <v>ann</v>
      </c>
      <c r="H33" s="509" t="str" cm="1">
        <f t="array" ref="H33">IFERROR( INDEX(鍵盤設計表[注音二式], MATCH(TRUE, EXACT(注音編碼對照表[[#This Row],[方音符號]], 鍵盤設計表[方音符號]),0)),"")</f>
        <v>ann</v>
      </c>
      <c r="I33" s="509" t="str" cm="1">
        <f t="array" ref="I33">IFERROR( INDEX(鍵盤設計表[閩拼方案], MATCH(TRUE, EXACT(注音編碼對照表[[#This Row],[方音符號]], 鍵盤設計表[方音符號]),0)), "")</f>
        <v>na</v>
      </c>
      <c r="J33" s="839" t="str" cm="1">
        <f t="array" ref="J33">IFERROR( INDEX(鍵盤設計表[聲韻調], MATCH(TRUE, EXACT(注音編碼對照表[[#This Row],[方音符號]], 鍵盤設計表[方音符號]),0)), "")</f>
        <v>韻</v>
      </c>
      <c r="L33"/>
      <c r="Q33"/>
      <c r="R33"/>
      <c r="T33"/>
      <c r="W33"/>
    </row>
    <row r="34" spans="2:23" ht="32.25">
      <c r="B34" s="775">
        <f t="shared" si="0"/>
        <v>32</v>
      </c>
      <c r="C34" s="73" t="s">
        <v>259</v>
      </c>
      <c r="D34" s="841" t="s">
        <v>8696</v>
      </c>
      <c r="E34" s="812" t="s">
        <v>426</v>
      </c>
      <c r="F34" s="772" t="s">
        <v>725</v>
      </c>
      <c r="G34" s="786" t="str" cm="1">
        <f t="array" ref="G34">IFERROR( INDEX(鍵盤設計表[台語音標], MATCH(TRUE, EXACT(注音編碼對照表[[#This Row],[方音符號]], 鍵盤設計表[方音符號]),0)), "")</f>
        <v>inn</v>
      </c>
      <c r="H34" s="509" t="str" cm="1">
        <f t="array" ref="H34">IFERROR( INDEX(鍵盤設計表[注音二式], MATCH(TRUE, EXACT(注音編碼對照表[[#This Row],[方音符號]], 鍵盤設計表[方音符號]),0)),"")</f>
        <v>inn</v>
      </c>
      <c r="I34" s="509" t="str" cm="1">
        <f t="array" ref="I34">IFERROR( INDEX(鍵盤設計表[閩拼方案], MATCH(TRUE, EXACT(注音編碼對照表[[#This Row],[方音符號]], 鍵盤設計表[方音符號]),0)), "")</f>
        <v>ni</v>
      </c>
      <c r="J34" s="839" t="str" cm="1">
        <f t="array" ref="J34">IFERROR( INDEX(鍵盤設計表[聲韻調], MATCH(TRUE, EXACT(注音編碼對照表[[#This Row],[方音符號]], 鍵盤設計表[方音符號]),0)), "")</f>
        <v>韻</v>
      </c>
      <c r="L34"/>
      <c r="Q34"/>
      <c r="R34"/>
      <c r="T34"/>
      <c r="W34"/>
    </row>
    <row r="35" spans="2:23" ht="32.25">
      <c r="B35" s="775">
        <f t="shared" ref="B35:B62" si="1">ROW() - 2</f>
        <v>33</v>
      </c>
      <c r="C35" s="73" t="s">
        <v>249</v>
      </c>
      <c r="D35" s="843" t="s">
        <v>113</v>
      </c>
      <c r="E35" s="812" t="s">
        <v>414</v>
      </c>
      <c r="F35" s="772" t="s">
        <v>724</v>
      </c>
      <c r="G35" s="786" t="str" cm="1">
        <f t="array" ref="G35">IFERROR( INDEX(鍵盤設計表[台語音標], MATCH(TRUE, EXACT(注音編碼對照表[[#This Row],[方音符號]], 鍵盤設計表[方音符號]),0)), "")</f>
        <v>unn</v>
      </c>
      <c r="H35" s="509" t="str" cm="1">
        <f t="array" ref="H35">IFERROR( INDEX(鍵盤設計表[注音二式], MATCH(TRUE, EXACT(注音編碼對照表[[#This Row],[方音符號]], 鍵盤設計表[方音符號]),0)),"")</f>
        <v>unn</v>
      </c>
      <c r="I35" s="509" t="str" cm="1">
        <f t="array" ref="I35">IFERROR( INDEX(鍵盤設計表[閩拼方案], MATCH(TRUE, EXACT(注音編碼對照表[[#This Row],[方音符號]], 鍵盤設計表[方音符號]),0)), "")</f>
        <v>nu</v>
      </c>
      <c r="J35" s="839" t="str" cm="1">
        <f t="array" ref="J35">IFERROR( INDEX(鍵盤設計表[聲韻調], MATCH(TRUE, EXACT(注音編碼對照表[[#This Row],[方音符號]], 鍵盤設計表[方音符號]),0)), "")</f>
        <v>韻</v>
      </c>
      <c r="K35" s="370"/>
      <c r="L35"/>
      <c r="Q35"/>
      <c r="R35"/>
      <c r="T35"/>
      <c r="W35"/>
    </row>
    <row r="36" spans="2:23" ht="32.25">
      <c r="B36" s="775">
        <f t="shared" si="1"/>
        <v>34</v>
      </c>
      <c r="C36" s="73" t="s">
        <v>223</v>
      </c>
      <c r="D36" s="841" t="s">
        <v>119</v>
      </c>
      <c r="E36" s="812" t="s">
        <v>421</v>
      </c>
      <c r="F36" s="772" t="s">
        <v>726</v>
      </c>
      <c r="G36" s="786" t="str" cm="1">
        <f t="array" ref="G36">IFERROR( INDEX(鍵盤設計表[台語音標], MATCH(TRUE, EXACT(注音編碼對照表[[#This Row],[方音符號]], 鍵盤設計表[方音符號]),0)), "")</f>
        <v>enn</v>
      </c>
      <c r="H36" s="509" t="str" cm="1">
        <f t="array" ref="H36">IFERROR( INDEX(鍵盤設計表[注音二式], MATCH(TRUE, EXACT(注音編碼對照表[[#This Row],[方音符號]], 鍵盤設計表[方音符號]),0)),"")</f>
        <v>enn</v>
      </c>
      <c r="I36" s="509" t="str" cm="1">
        <f t="array" ref="I36">IFERROR( INDEX(鍵盤設計表[閩拼方案], MATCH(TRUE, EXACT(注音編碼對照表[[#This Row],[方音符號]], 鍵盤設計表[方音符號]),0)), "")</f>
        <v>ne</v>
      </c>
      <c r="J36" s="839" t="str" cm="1">
        <f t="array" ref="J36">IFERROR( INDEX(鍵盤設計表[聲韻調], MATCH(TRUE, EXACT(注音編碼對照表[[#This Row],[方音符號]], 鍵盤設計表[方音符號]),0)), "")</f>
        <v>韻</v>
      </c>
      <c r="K36" s="370"/>
      <c r="L36"/>
      <c r="Q36"/>
      <c r="R36"/>
      <c r="T36"/>
      <c r="W36"/>
    </row>
    <row r="37" spans="2:23" ht="32.25">
      <c r="B37" s="775">
        <f t="shared" si="1"/>
        <v>35</v>
      </c>
      <c r="C37" s="73" t="s">
        <v>275</v>
      </c>
      <c r="D37" s="841" t="s">
        <v>121</v>
      </c>
      <c r="E37" s="812" t="s">
        <v>397</v>
      </c>
      <c r="F37" s="772" t="s">
        <v>729</v>
      </c>
      <c r="G37" s="786" t="str" cm="1">
        <f t="array" ref="G37">IFERROR( INDEX(鍵盤設計表[台語音標], MATCH(TRUE, EXACT(注音編碼對照表[[#This Row],[方音符號]], 鍵盤設計表[方音符號]),0)), "")</f>
        <v>onn</v>
      </c>
      <c r="H37" s="509" t="str" cm="1">
        <f t="array" ref="H37">IFERROR( INDEX(鍵盤設計表[注音二式], MATCH(TRUE, EXACT(注音編碼對照表[[#This Row],[方音符號]], 鍵盤設計表[方音符號]),0)),"")</f>
        <v>oonn</v>
      </c>
      <c r="I37" s="509" t="str" cm="1">
        <f t="array" ref="I37">IFERROR( INDEX(鍵盤設計表[閩拼方案], MATCH(TRUE, EXACT(注音編碼對照表[[#This Row],[方音符號]], 鍵盤設計表[方音符號]),0)), "")</f>
        <v>no</v>
      </c>
      <c r="J37" s="839" t="str" cm="1">
        <f t="array" ref="J37">IFERROR( INDEX(鍵盤設計表[聲韻調], MATCH(TRUE, EXACT(注音編碼對照表[[#This Row],[方音符號]], 鍵盤設計表[方音符號]),0)), "")</f>
        <v>韻</v>
      </c>
      <c r="L37"/>
      <c r="Q37"/>
      <c r="R37"/>
      <c r="T37"/>
      <c r="W37"/>
    </row>
    <row r="38" spans="2:23" ht="32.25">
      <c r="B38" s="775">
        <f t="shared" si="1"/>
        <v>36</v>
      </c>
      <c r="C38" s="73" t="s">
        <v>240</v>
      </c>
      <c r="D38" s="841" t="s">
        <v>117</v>
      </c>
      <c r="E38" s="812" t="s">
        <v>332</v>
      </c>
      <c r="F38" s="772" t="s">
        <v>8777</v>
      </c>
      <c r="G38" s="786" t="str" cm="1">
        <f t="array" ref="G38">IFERROR( INDEX(鍵盤設計表[台語音標], MATCH(TRUE, EXACT(注音編碼對照表[[#This Row],[方音符號]], 鍵盤設計表[方音符號]),0)), "")</f>
        <v>ainn</v>
      </c>
      <c r="H38" s="509" t="str" cm="1">
        <f t="array" ref="H38">IFERROR( INDEX(鍵盤設計表[注音二式], MATCH(TRUE, EXACT(注音編碼對照表[[#This Row],[方音符號]], 鍵盤設計表[方音符號]),0)),"")</f>
        <v>ainn</v>
      </c>
      <c r="I38" s="509" t="str" cm="1">
        <f t="array" ref="I38">IFERROR( INDEX(鍵盤設計表[閩拼方案], MATCH(TRUE, EXACT(注音編碼對照表[[#This Row],[方音符號]], 鍵盤設計表[方音符號]),0)), "")</f>
        <v>nai</v>
      </c>
      <c r="J38" s="839" t="str" cm="1">
        <f t="array" ref="J38">IFERROR( INDEX(鍵盤設計表[聲韻調], MATCH(TRUE, EXACT(注音編碼對照表[[#This Row],[方音符號]], 鍵盤設計表[方音符號]),0)), "")</f>
        <v>韻</v>
      </c>
      <c r="L38"/>
      <c r="Q38"/>
      <c r="R38"/>
      <c r="T38"/>
      <c r="W38"/>
    </row>
    <row r="39" spans="2:23" ht="32.25">
      <c r="B39" s="775">
        <f t="shared" si="1"/>
        <v>37</v>
      </c>
      <c r="C39" s="73" t="s">
        <v>231</v>
      </c>
      <c r="D39" s="841" t="s">
        <v>123</v>
      </c>
      <c r="E39" s="812" t="s">
        <v>588</v>
      </c>
      <c r="F39" s="772" t="s">
        <v>8778</v>
      </c>
      <c r="G39" s="786" t="str" cm="1">
        <f t="array" ref="G39">IFERROR( INDEX(鍵盤設計表[台語音標], MATCH(TRUE, EXACT(注音編碼對照表[[#This Row],[方音符號]], 鍵盤設計表[方音符號]),0)), "")</f>
        <v>aunn</v>
      </c>
      <c r="H39" s="509" t="str" cm="1">
        <f t="array" ref="H39">IFERROR( INDEX(鍵盤設計表[注音二式], MATCH(TRUE, EXACT(注音編碼對照表[[#This Row],[方音符號]], 鍵盤設計表[方音符號]),0)),"")</f>
        <v>aunn</v>
      </c>
      <c r="I39" s="509" t="str" cm="1">
        <f t="array" ref="I39">IFERROR( INDEX(鍵盤設計表[閩拼方案], MATCH(TRUE, EXACT(注音編碼對照表[[#This Row],[方音符號]], 鍵盤設計表[方音符號]),0)), "")</f>
        <v>nau</v>
      </c>
      <c r="J39" s="839" t="str" cm="1">
        <f t="array" ref="J39">IFERROR( INDEX(鍵盤設計表[聲韻調], MATCH(TRUE, EXACT(注音編碼對照表[[#This Row],[方音符號]], 鍵盤設計表[方音符號]),0)), "")</f>
        <v>韻</v>
      </c>
      <c r="L39"/>
      <c r="Q39"/>
      <c r="R39"/>
      <c r="T39"/>
      <c r="W39"/>
    </row>
    <row r="40" spans="2:23" ht="32.25">
      <c r="B40" s="775">
        <f t="shared" si="1"/>
        <v>38</v>
      </c>
      <c r="C40" s="73" t="s">
        <v>143</v>
      </c>
      <c r="D40" s="841" t="s">
        <v>145</v>
      </c>
      <c r="E40" s="424" t="s">
        <v>525</v>
      </c>
      <c r="F40" s="772" t="s">
        <v>745</v>
      </c>
      <c r="G40" s="786" t="str" cm="1">
        <f t="array" ref="G40">IFERROR( INDEX(鍵盤設計表[台語音標], MATCH(TRUE, EXACT(注音編碼對照表[[#This Row],[方音符號]], 鍵盤設計表[方音符號]),0)), "")</f>
        <v>m</v>
      </c>
      <c r="H40" s="509" t="str" cm="1">
        <f t="array" ref="H40">IFERROR( INDEX(鍵盤設計表[注音二式], MATCH(TRUE, EXACT(注音編碼對照表[[#This Row],[方音符號]], 鍵盤設計表[方音符號]),0)),"")</f>
        <v>m</v>
      </c>
      <c r="I40" s="509" t="str" cm="1">
        <f t="array" ref="I40">IFERROR( INDEX(鍵盤設計表[閩拼方案], MATCH(TRUE, EXACT(注音編碼對照表[[#This Row],[方音符號]], 鍵盤設計表[方音符號]),0)), "")</f>
        <v>m</v>
      </c>
      <c r="J40" s="839" t="str" cm="1">
        <f t="array" ref="J40">IFERROR( INDEX(鍵盤設計表[聲韻調], MATCH(TRUE, EXACT(注音編碼對照表[[#This Row],[方音符號]], 鍵盤設計表[方音符號]),0)), "")</f>
        <v>韻</v>
      </c>
      <c r="L40"/>
      <c r="Q40"/>
      <c r="R40"/>
      <c r="T40"/>
      <c r="W40"/>
    </row>
    <row r="41" spans="2:23" ht="32.25">
      <c r="B41" s="775">
        <f t="shared" si="1"/>
        <v>39</v>
      </c>
      <c r="C41" s="73" t="s">
        <v>217</v>
      </c>
      <c r="D41" s="844" t="s">
        <v>740</v>
      </c>
      <c r="E41" s="424" t="s">
        <v>569</v>
      </c>
      <c r="F41" s="772" t="s">
        <v>739</v>
      </c>
      <c r="G41" s="786" t="str" cm="1">
        <f t="array" ref="G41">IFERROR( INDEX(鍵盤設計表[台語音標], MATCH(TRUE, EXACT(注音編碼對照表[[#This Row],[方音符號]], 鍵盤設計表[方音符號]),0)), "")</f>
        <v>n</v>
      </c>
      <c r="H41" s="509" t="str" cm="1">
        <f t="array" ref="H41">IFERROR( INDEX(鍵盤設計表[注音二式], MATCH(TRUE, EXACT(注音編碼對照表[[#This Row],[方音符號]], 鍵盤設計表[方音符號]),0)),"")</f>
        <v>n</v>
      </c>
      <c r="I41" s="509" t="str" cm="1">
        <f t="array" ref="I41">IFERROR( INDEX(鍵盤設計表[閩拼方案], MATCH(TRUE, EXACT(注音編碼對照表[[#This Row],[方音符號]], 鍵盤設計表[方音符號]),0)), "")</f>
        <v>n</v>
      </c>
      <c r="J41" s="839" t="str" cm="1">
        <f t="array" ref="J41">IFERROR( INDEX(鍵盤設計表[聲韻調], MATCH(TRUE, EXACT(注音編碼對照表[[#This Row],[方音符號]], 鍵盤設計表[方音符號]),0)), "")</f>
        <v>韻</v>
      </c>
      <c r="L41"/>
      <c r="Q41"/>
      <c r="R41"/>
      <c r="T41"/>
      <c r="W41"/>
    </row>
    <row r="42" spans="2:23" ht="32.25">
      <c r="B42" s="775">
        <f t="shared" si="1"/>
        <v>40</v>
      </c>
      <c r="C42" s="73" t="s">
        <v>202</v>
      </c>
      <c r="D42" s="841" t="s">
        <v>74</v>
      </c>
      <c r="E42" s="424" t="s">
        <v>141</v>
      </c>
      <c r="F42" s="772" t="s">
        <v>746</v>
      </c>
      <c r="G42" s="786" t="str" cm="1">
        <f t="array" ref="G42">IFERROR( INDEX(鍵盤設計表[台語音標], MATCH(TRUE, EXACT(注音編碼對照表[[#This Row],[方音符號]], 鍵盤設計表[方音符號]),0)), "")</f>
        <v>ng</v>
      </c>
      <c r="H42" s="509" t="str" cm="1">
        <f t="array" ref="H42">IFERROR( INDEX(鍵盤設計表[注音二式], MATCH(TRUE, EXACT(注音編碼對照表[[#This Row],[方音符號]], 鍵盤設計表[方音符號]),0)),"")</f>
        <v>ng</v>
      </c>
      <c r="I42" s="509" t="str" cm="1">
        <f t="array" ref="I42">IFERROR( INDEX(鍵盤設計表[閩拼方案], MATCH(TRUE, EXACT(注音編碼對照表[[#This Row],[方音符號]], 鍵盤設計表[方音符號]),0)), "")</f>
        <v>ng</v>
      </c>
      <c r="J42" s="839" t="str" cm="1">
        <f t="array" ref="J42">IFERROR( INDEX(鍵盤設計表[聲韻調], MATCH(TRUE, EXACT(注音編碼對照表[[#This Row],[方音符號]], 鍵盤設計表[方音符號]),0)), "")</f>
        <v>韻</v>
      </c>
      <c r="L42"/>
      <c r="Q42"/>
      <c r="R42"/>
      <c r="T42"/>
      <c r="W42"/>
    </row>
    <row r="43" spans="2:23" ht="32.25">
      <c r="B43" s="775">
        <f t="shared" si="1"/>
        <v>41</v>
      </c>
      <c r="C43" s="73" t="s">
        <v>525</v>
      </c>
      <c r="D43" s="841" t="s">
        <v>99</v>
      </c>
      <c r="E43" s="424" t="s">
        <v>447</v>
      </c>
      <c r="F43" s="772" t="s">
        <v>100</v>
      </c>
      <c r="G43" s="786" t="str" cm="1">
        <f t="array" ref="G43">IFERROR( INDEX(鍵盤設計表[台語音標], MATCH(TRUE, EXACT(注音編碼對照表[[#This Row],[方音符號]], 鍵盤設計表[方音符號]),0)), "")</f>
        <v>am</v>
      </c>
      <c r="H43" s="509" t="str" cm="1">
        <f t="array" ref="H43">IFERROR( INDEX(鍵盤設計表[注音二式], MATCH(TRUE, EXACT(注音編碼對照表[[#This Row],[方音符號]], 鍵盤設計表[方音符號]),0)),"")</f>
        <v>am</v>
      </c>
      <c r="I43" s="509" t="str" cm="1">
        <f t="array" ref="I43">IFERROR( INDEX(鍵盤設計表[閩拼方案], MATCH(TRUE, EXACT(注音編碼對照表[[#This Row],[方音符號]], 鍵盤設計表[方音符號]),0)), "")</f>
        <v>am</v>
      </c>
      <c r="J43" s="839" t="str" cm="1">
        <f t="array" ref="J43">IFERROR( INDEX(鍵盤設計表[聲韻調], MATCH(TRUE, EXACT(注音編碼對照表[[#This Row],[方音符號]], 鍵盤設計表[方音符號]),0)), "")</f>
        <v>韻</v>
      </c>
      <c r="L43"/>
      <c r="Q43"/>
      <c r="R43"/>
      <c r="T43"/>
      <c r="W43"/>
    </row>
    <row r="44" spans="2:23" ht="32.25">
      <c r="B44" s="775">
        <f t="shared" si="1"/>
        <v>42</v>
      </c>
      <c r="C44" s="73" t="s">
        <v>219</v>
      </c>
      <c r="D44" s="841" t="s">
        <v>97</v>
      </c>
      <c r="E44" s="424" t="s">
        <v>611</v>
      </c>
      <c r="F44" s="772" t="s">
        <v>98</v>
      </c>
      <c r="G44" s="786" t="str" cm="1">
        <f t="array" ref="G44">IFERROR( INDEX(鍵盤設計表[台語音標], MATCH(TRUE, EXACT(注音編碼對照表[[#This Row],[方音符號]], 鍵盤設計表[方音符號]),0)), "")</f>
        <v>an</v>
      </c>
      <c r="H44" s="509" t="str" cm="1">
        <f t="array" ref="H44">IFERROR( INDEX(鍵盤設計表[注音二式], MATCH(TRUE, EXACT(注音編碼對照表[[#This Row],[方音符號]], 鍵盤設計表[方音符號]),0)),"")</f>
        <v>an</v>
      </c>
      <c r="I44" s="509" t="str" cm="1">
        <f t="array" ref="I44">IFERROR( INDEX(鍵盤設計表[閩拼方案], MATCH(TRUE, EXACT(注音編碼對照表[[#This Row],[方音符號]], 鍵盤設計表[方音符號]),0)), "")</f>
        <v>an</v>
      </c>
      <c r="J44" s="839" t="str" cm="1">
        <f t="array" ref="J44">IFERROR( INDEX(鍵盤設計表[聲韻調], MATCH(TRUE, EXACT(注音編碼對照表[[#This Row],[方音符號]], 鍵盤設計表[方音符號]),0)), "")</f>
        <v>韻</v>
      </c>
      <c r="L44"/>
      <c r="Q44"/>
      <c r="R44"/>
      <c r="T44"/>
      <c r="W44"/>
    </row>
    <row r="45" spans="2:23" ht="32.25">
      <c r="B45" s="775">
        <f t="shared" si="1"/>
        <v>43</v>
      </c>
      <c r="C45" s="73" t="s">
        <v>212</v>
      </c>
      <c r="D45" s="841" t="s">
        <v>95</v>
      </c>
      <c r="E45" s="424" t="s">
        <v>609</v>
      </c>
      <c r="F45" s="772" t="s">
        <v>720</v>
      </c>
      <c r="G45" s="786" t="str" cm="1">
        <f t="array" ref="G45">IFERROR( INDEX(鍵盤設計表[台語音標], MATCH(TRUE, EXACT(注音編碼對照表[[#This Row],[方音符號]], 鍵盤設計表[方音符號]),0)), "")</f>
        <v>ang</v>
      </c>
      <c r="H45" s="509" t="str" cm="1">
        <f t="array" ref="H45">IFERROR( INDEX(鍵盤設計表[注音二式], MATCH(TRUE, EXACT(注音編碼對照表[[#This Row],[方音符號]], 鍵盤設計表[方音符號]),0)),"")</f>
        <v>ang</v>
      </c>
      <c r="I45" s="509" t="str" cm="1">
        <f t="array" ref="I45">IFERROR( INDEX(鍵盤設計表[閩拼方案], MATCH(TRUE, EXACT(注音編碼對照表[[#This Row],[方音符號]], 鍵盤設計表[方音符號]),0)), "")</f>
        <v>ang</v>
      </c>
      <c r="J45" s="839" t="str" cm="1">
        <f t="array" ref="J45">IFERROR( INDEX(鍵盤設計表[聲韻調], MATCH(TRUE, EXACT(注音編碼對照表[[#This Row],[方音符號]], 鍵盤設計表[方音符號]),0)), "")</f>
        <v>韻</v>
      </c>
      <c r="L45"/>
      <c r="Q45"/>
      <c r="R45"/>
      <c r="T45"/>
      <c r="W45"/>
    </row>
    <row r="46" spans="2:23" ht="32.25">
      <c r="B46" s="775">
        <f t="shared" si="1"/>
        <v>44</v>
      </c>
      <c r="C46" s="73" t="s">
        <v>267</v>
      </c>
      <c r="D46" s="844" t="s">
        <v>125</v>
      </c>
      <c r="E46" s="424" t="s">
        <v>559</v>
      </c>
      <c r="F46" s="772" t="s">
        <v>126</v>
      </c>
      <c r="G46" s="786" t="str" cm="1">
        <f t="array" ref="G46">IFERROR( INDEX(鍵盤設計表[台語音標], MATCH(TRUE, EXACT(注音編碼對照表[[#This Row],[方音符號]], 鍵盤設計表[方音符號]),0)), "")</f>
        <v>om</v>
      </c>
      <c r="H46" s="509" t="str" cm="1">
        <f t="array" ref="H46">IFERROR( INDEX(鍵盤設計表[注音二式], MATCH(TRUE, EXACT(注音編碼對照表[[#This Row],[方音符號]], 鍵盤設計表[方音符號]),0)),"")</f>
        <v>om</v>
      </c>
      <c r="I46" s="509" t="str" cm="1">
        <f t="array" ref="I46">IFERROR( INDEX(鍵盤設計表[閩拼方案], MATCH(TRUE, EXACT(注音編碼對照表[[#This Row],[方音符號]], 鍵盤設計表[方音符號]),0)), "")</f>
        <v>om</v>
      </c>
      <c r="J46" s="839" t="str" cm="1">
        <f t="array" ref="J46">IFERROR( INDEX(鍵盤設計表[聲韻調], MATCH(TRUE, EXACT(注音編碼對照表[[#This Row],[方音符號]], 鍵盤設計表[方音符號]),0)), "")</f>
        <v>韻</v>
      </c>
      <c r="L46"/>
      <c r="Q46"/>
      <c r="R46"/>
      <c r="T46"/>
      <c r="W46"/>
    </row>
    <row r="47" spans="2:23" ht="32.25">
      <c r="B47" s="775">
        <f t="shared" si="1"/>
        <v>45</v>
      </c>
      <c r="C47" s="73" t="s">
        <v>65</v>
      </c>
      <c r="D47" s="841" t="s">
        <v>101</v>
      </c>
      <c r="E47" s="424" t="s">
        <v>454</v>
      </c>
      <c r="F47" s="772" t="s">
        <v>741</v>
      </c>
      <c r="G47" s="786" t="str" cm="1">
        <f t="array" ref="G47">IFERROR( INDEX(鍵盤設計表[台語音標], MATCH(TRUE, EXACT(注音編碼對照表[[#This Row],[方音符號]], 鍵盤設計表[方音符號]),0)), "")</f>
        <v>ong</v>
      </c>
      <c r="H47" s="509" t="str" cm="1">
        <f t="array" ref="H47">IFERROR( INDEX(鍵盤設計表[注音二式], MATCH(TRUE, EXACT(注音編碼對照表[[#This Row],[方音符號]], 鍵盤設計表[方音符號]),0)),"")</f>
        <v>ong</v>
      </c>
      <c r="I47" s="509" t="str" cm="1">
        <f t="array" ref="I47">IFERROR( INDEX(鍵盤設計表[閩拼方案], MATCH(TRUE, EXACT(注音編碼對照表[[#This Row],[方音符號]], 鍵盤設計表[方音符號]),0)), "")</f>
        <v>ong</v>
      </c>
      <c r="J47" s="839" t="str" cm="1">
        <f t="array" ref="J47">IFERROR( INDEX(鍵盤設計表[聲韻調], MATCH(TRUE, EXACT(注音編碼對照表[[#This Row],[方音符號]], 鍵盤設計表[方音符號]),0)), "")</f>
        <v>韻</v>
      </c>
      <c r="L47"/>
      <c r="Q47"/>
      <c r="R47"/>
      <c r="T47"/>
      <c r="W47"/>
    </row>
    <row r="48" spans="2:23" ht="32.25">
      <c r="B48" s="775">
        <f t="shared" si="1"/>
        <v>46</v>
      </c>
      <c r="C48" s="73" t="s">
        <v>190</v>
      </c>
      <c r="D48" s="841" t="s">
        <v>128</v>
      </c>
      <c r="E48" s="424" t="s">
        <v>358</v>
      </c>
      <c r="F48" s="777" t="s">
        <v>747</v>
      </c>
      <c r="G48" s="786" t="str" cm="1">
        <f t="array" ref="G48">IFERROR( INDEX(鍵盤設計表[台語音標], MATCH(TRUE, EXACT(注音編碼對照表[[#This Row],[方音符號]], 鍵盤設計表[方音符號]),0)), "")</f>
        <v>p</v>
      </c>
      <c r="H48" s="509" t="str" cm="1">
        <f t="array" ref="H48">IFERROR( INDEX(鍵盤設計表[注音二式], MATCH(TRUE, EXACT(注音編碼對照表[[#This Row],[方音符號]], 鍵盤設計表[方音符號]),0)),"")</f>
        <v>p</v>
      </c>
      <c r="I48" s="509" t="str" cm="1">
        <f t="array" ref="I48">IFERROR( INDEX(鍵盤設計表[閩拼方案], MATCH(TRUE, EXACT(注音編碼對照表[[#This Row],[方音符號]], 鍵盤設計表[方音符號]),0)), "")</f>
        <v>p</v>
      </c>
      <c r="J48" s="839" t="str" cm="1">
        <f t="array" ref="J48">IFERROR( INDEX(鍵盤設計表[聲韻調], MATCH(TRUE, EXACT(注音編碼對照表[[#This Row],[方音符號]], 鍵盤設計表[方音符號]),0)), "")</f>
        <v>韻尾</v>
      </c>
      <c r="L48"/>
      <c r="Q48"/>
      <c r="R48"/>
      <c r="T48"/>
      <c r="W48"/>
    </row>
    <row r="49" spans="2:23" ht="32.25">
      <c r="B49" s="775">
        <f t="shared" si="1"/>
        <v>47</v>
      </c>
      <c r="C49" s="73" t="s">
        <v>30</v>
      </c>
      <c r="D49" s="841" t="s">
        <v>130</v>
      </c>
      <c r="E49" s="424" t="s">
        <v>337</v>
      </c>
      <c r="F49" s="777" t="s">
        <v>748</v>
      </c>
      <c r="G49" s="786" t="str" cm="1">
        <f t="array" ref="G49">IFERROR( INDEX(鍵盤設計表[台語音標], MATCH(TRUE, EXACT(注音編碼對照表[[#This Row],[方音符號]], 鍵盤設計表[方音符號]),0)), "")</f>
        <v>t</v>
      </c>
      <c r="H49" s="509" t="str" cm="1">
        <f t="array" ref="H49">IFERROR( INDEX(鍵盤設計表[注音二式], MATCH(TRUE, EXACT(注音編碼對照表[[#This Row],[方音符號]], 鍵盤設計表[方音符號]),0)),"")</f>
        <v>t</v>
      </c>
      <c r="I49" s="509" t="str" cm="1">
        <f t="array" ref="I49">IFERROR( INDEX(鍵盤設計表[閩拼方案], MATCH(TRUE, EXACT(注音編碼對照表[[#This Row],[方音符號]], 鍵盤設計表[方音符號]),0)), "")</f>
        <v>t</v>
      </c>
      <c r="J49" s="839" t="str" cm="1">
        <f t="array" ref="J49">IFERROR( INDEX(鍵盤設計表[聲韻調], MATCH(TRUE, EXACT(注音編碼對照表[[#This Row],[方音符號]], 鍵盤設計表[方音符號]),0)), "")</f>
        <v>韻尾</v>
      </c>
      <c r="L49"/>
      <c r="Q49"/>
      <c r="R49"/>
      <c r="T49"/>
      <c r="W49"/>
    </row>
    <row r="50" spans="2:23" ht="32.25">
      <c r="B50" s="775">
        <f t="shared" si="1"/>
        <v>48</v>
      </c>
      <c r="C50" s="73" t="s">
        <v>184</v>
      </c>
      <c r="D50" s="841" t="s">
        <v>132</v>
      </c>
      <c r="E50" s="424" t="s">
        <v>316</v>
      </c>
      <c r="F50" s="777" t="s">
        <v>749</v>
      </c>
      <c r="G50" s="786" t="str" cm="1">
        <f t="array" ref="G50">IFERROR( INDEX(鍵盤設計表[台語音標], MATCH(TRUE, EXACT(注音編碼對照表[[#This Row],[方音符號]], 鍵盤設計表[方音符號]),0)), "")</f>
        <v>k</v>
      </c>
      <c r="H50" s="509" t="str" cm="1">
        <f t="array" ref="H50">IFERROR( INDEX(鍵盤設計表[注音二式], MATCH(TRUE, EXACT(注音編碼對照表[[#This Row],[方音符號]], 鍵盤設計表[方音符號]),0)),"")</f>
        <v>k</v>
      </c>
      <c r="I50" s="509" t="str" cm="1">
        <f t="array" ref="I50">IFERROR( INDEX(鍵盤設計表[閩拼方案], MATCH(TRUE, EXACT(注音編碼對照表[[#This Row],[方音符號]], 鍵盤設計表[方音符號]),0)), "")</f>
        <v>k</v>
      </c>
      <c r="J50" s="839" t="str" cm="1">
        <f t="array" ref="J50">IFERROR( INDEX(鍵盤設計表[聲韻調], MATCH(TRUE, EXACT(注音編碼對照表[[#This Row],[方音符號]], 鍵盤設計表[方音符號]),0)), "")</f>
        <v>韻尾</v>
      </c>
      <c r="L50"/>
      <c r="Q50"/>
      <c r="R50"/>
      <c r="T50"/>
      <c r="W50"/>
    </row>
    <row r="51" spans="2:23" ht="32.25">
      <c r="B51" s="775">
        <f t="shared" si="1"/>
        <v>49</v>
      </c>
      <c r="C51" s="73" t="s">
        <v>179</v>
      </c>
      <c r="D51" s="841" t="s">
        <v>627</v>
      </c>
      <c r="E51" s="424" t="s">
        <v>568</v>
      </c>
      <c r="F51" s="777" t="s">
        <v>750</v>
      </c>
      <c r="G51" s="786" t="str" cm="1">
        <f t="array" ref="G51">IFERROR( INDEX(鍵盤設計表[台語音標], MATCH(TRUE, EXACT(注音編碼對照表[[#This Row],[方音符號]], 鍵盤設計表[方音符號]),0)), "")</f>
        <v>h</v>
      </c>
      <c r="H51" s="509" t="str" cm="1">
        <f t="array" ref="H51">IFERROR( INDEX(鍵盤設計表[注音二式], MATCH(TRUE, EXACT(注音編碼對照表[[#This Row],[方音符號]], 鍵盤設計表[方音符號]),0)),"")</f>
        <v>h</v>
      </c>
      <c r="I51" s="509" t="str" cm="1">
        <f t="array" ref="I51">IFERROR( INDEX(鍵盤設計表[閩拼方案], MATCH(TRUE, EXACT(注音編碼對照表[[#This Row],[方音符號]], 鍵盤設計表[方音符號]),0)), "")</f>
        <v>h</v>
      </c>
      <c r="J51" s="839" t="str" cm="1">
        <f t="array" ref="J51">IFERROR( INDEX(鍵盤設計表[聲韻調], MATCH(TRUE, EXACT(注音編碼對照表[[#This Row],[方音符號]], 鍵盤設計表[方音符號]),0)), "")</f>
        <v>韻尾</v>
      </c>
      <c r="L51"/>
      <c r="Q51"/>
      <c r="R51"/>
      <c r="T51"/>
      <c r="W51"/>
    </row>
    <row r="52" spans="2:23" ht="32.25">
      <c r="B52" s="775">
        <f t="shared" si="1"/>
        <v>50</v>
      </c>
      <c r="C52" s="787" t="s">
        <v>509</v>
      </c>
      <c r="D52" s="841" t="s">
        <v>531</v>
      </c>
      <c r="E52" s="424">
        <v>1</v>
      </c>
      <c r="F52" s="772"/>
      <c r="G52" s="786">
        <v>1</v>
      </c>
      <c r="H52" s="509">
        <v>1</v>
      </c>
      <c r="I52" s="509">
        <v>1</v>
      </c>
      <c r="J52" s="840" t="str" cm="1">
        <f t="array" ref="J52">IFERROR( INDEX(鍵盤設計表[聲韻調], MATCH(TRUE, EXACT(注音編碼對照表[[#This Row],[方音符號]], 鍵盤設計表[方音符號]),0)), "")</f>
        <v>調</v>
      </c>
      <c r="L52" s="370" t="s">
        <v>532</v>
      </c>
      <c r="Q52"/>
      <c r="R52"/>
      <c r="T52"/>
      <c r="W52"/>
    </row>
    <row r="53" spans="2:23" ht="32.25">
      <c r="B53" s="775">
        <f t="shared" si="1"/>
        <v>51</v>
      </c>
      <c r="C53" s="73" t="s">
        <v>886</v>
      </c>
      <c r="D53" s="841" t="s">
        <v>531</v>
      </c>
      <c r="E53" s="424">
        <v>7</v>
      </c>
      <c r="F53" s="772"/>
      <c r="G53" s="786" cm="1">
        <f t="array" ref="G53">IFERROR( INDEX(鍵盤設計表[台語音標], MATCH(TRUE, EXACT(注音編碼對照表[[#This Row],[方音符號]], 鍵盤設計表[方音符號]),0)), "")</f>
        <v>1</v>
      </c>
      <c r="H53" s="509" cm="1">
        <f t="array" ref="H53">IFERROR( INDEX(鍵盤設計表[注音二式], MATCH(TRUE, EXACT(注音編碼對照表[[#This Row],[方音符號]], 鍵盤設計表[方音符號]),0)),"")</f>
        <v>1</v>
      </c>
      <c r="I53" s="509">
        <v>7</v>
      </c>
      <c r="J53" s="839" t="str" cm="1">
        <f t="array" ref="J53">IFERROR( INDEX(鍵盤設計表[聲韻調], MATCH(TRUE, EXACT(注音編碼對照表[[#This Row],[方音符號]], 鍵盤設計表[方音符號]),0)), "")</f>
        <v>調</v>
      </c>
      <c r="L53" s="370" t="s">
        <v>532</v>
      </c>
      <c r="Q53"/>
      <c r="R53"/>
      <c r="T53"/>
      <c r="W53"/>
    </row>
    <row r="54" spans="2:23" ht="38.25">
      <c r="B54" s="775">
        <f t="shared" si="1"/>
        <v>52</v>
      </c>
      <c r="C54" s="73">
        <v>5</v>
      </c>
      <c r="D54" s="841" t="s">
        <v>467</v>
      </c>
      <c r="E54" s="424">
        <v>6</v>
      </c>
      <c r="F54" s="772"/>
      <c r="G54" s="786">
        <v>7</v>
      </c>
      <c r="H54" s="509">
        <v>7</v>
      </c>
      <c r="I54" s="509">
        <v>6</v>
      </c>
      <c r="J54" s="839" t="s">
        <v>8715</v>
      </c>
      <c r="L54" s="789" t="s">
        <v>107</v>
      </c>
      <c r="Q54"/>
      <c r="R54"/>
      <c r="T54"/>
      <c r="W54"/>
    </row>
    <row r="55" spans="2:23" ht="38.25">
      <c r="B55" s="775">
        <f t="shared" si="1"/>
        <v>53</v>
      </c>
      <c r="C55" s="73">
        <v>3</v>
      </c>
      <c r="D55" s="841" t="s">
        <v>8815</v>
      </c>
      <c r="E55" s="424">
        <v>5</v>
      </c>
      <c r="F55" s="772"/>
      <c r="G55" s="786">
        <v>3</v>
      </c>
      <c r="H55" s="509">
        <v>3</v>
      </c>
      <c r="I55" s="509">
        <v>5</v>
      </c>
      <c r="J55" s="839" t="s">
        <v>8715</v>
      </c>
      <c r="L55" s="830" t="s">
        <v>105</v>
      </c>
      <c r="Q55"/>
      <c r="R55"/>
      <c r="T55"/>
      <c r="W55"/>
    </row>
    <row r="56" spans="2:23" ht="38.25">
      <c r="B56" s="775">
        <f t="shared" si="1"/>
        <v>54</v>
      </c>
      <c r="C56" s="73">
        <v>4</v>
      </c>
      <c r="D56" s="841" t="s">
        <v>535</v>
      </c>
      <c r="E56" s="424">
        <v>3</v>
      </c>
      <c r="F56" s="772"/>
      <c r="G56" s="786">
        <v>2</v>
      </c>
      <c r="H56" s="509">
        <v>2</v>
      </c>
      <c r="I56" s="509">
        <v>3</v>
      </c>
      <c r="J56" s="839" t="s">
        <v>8715</v>
      </c>
      <c r="L56" s="830" t="s">
        <v>104</v>
      </c>
      <c r="Q56"/>
      <c r="R56"/>
      <c r="T56"/>
      <c r="W56"/>
    </row>
    <row r="57" spans="2:23" ht="38.25">
      <c r="B57" s="775">
        <f t="shared" si="1"/>
        <v>55</v>
      </c>
      <c r="C57" s="73">
        <v>6</v>
      </c>
      <c r="D57" s="841" t="s">
        <v>106</v>
      </c>
      <c r="E57" s="424">
        <v>2</v>
      </c>
      <c r="F57" s="772"/>
      <c r="G57" s="786" cm="1">
        <f t="array" ref="G57">IFERROR( INDEX(鍵盤設計表[台語音標], MATCH(TRUE, EXACT(注音編碼對照表[[#This Row],[方音符號]], 鍵盤設計表[方音符號]),0)), "")</f>
        <v>5</v>
      </c>
      <c r="H57" s="509" cm="1">
        <f t="array" ref="H57">IFERROR( INDEX(鍵盤設計表[注音二式], MATCH(TRUE, EXACT(注音編碼對照表[[#This Row],[方音符號]], 鍵盤設計表[方音符號]),0)),"")</f>
        <v>5</v>
      </c>
      <c r="I57" s="509" cm="1">
        <f t="array" ref="I57">IFERROR( INDEX(鍵盤設計表[閩拼方案], MATCH(TRUE, EXACT(注音編碼對照表[[#This Row],[方音符號]], 鍵盤設計表[方音符號]),0)), "")</f>
        <v>2</v>
      </c>
      <c r="J57" s="839" t="str" cm="1">
        <f t="array" ref="J57">IFERROR( INDEX(鍵盤設計表[聲韻調], MATCH(TRUE, EXACT(注音編碼對照表[[#This Row],[方音符號]], 鍵盤設計表[方音符號]),0)), "")</f>
        <v>調</v>
      </c>
      <c r="L57" s="830" t="s">
        <v>106</v>
      </c>
      <c r="Q57"/>
      <c r="R57"/>
      <c r="T57"/>
      <c r="W57"/>
    </row>
    <row r="58" spans="2:23" ht="38.25">
      <c r="B58" s="775">
        <f t="shared" si="1"/>
        <v>56</v>
      </c>
      <c r="C58" s="73" t="s">
        <v>511</v>
      </c>
      <c r="D58" s="841" t="s">
        <v>106</v>
      </c>
      <c r="E58" s="424">
        <v>8</v>
      </c>
      <c r="F58" s="772"/>
      <c r="G58" s="786">
        <v>8</v>
      </c>
      <c r="H58" s="509">
        <v>8</v>
      </c>
      <c r="I58" s="509">
        <v>8</v>
      </c>
      <c r="J58" s="839" t="str" cm="1">
        <f t="array" ref="J58">IFERROR( INDEX(鍵盤設計表[聲韻調], MATCH(TRUE, EXACT(注音編碼對照表[[#This Row],[方音符號]], 鍵盤設計表[方音符號]),0)), "")</f>
        <v>調</v>
      </c>
      <c r="L58" s="830" t="s">
        <v>108</v>
      </c>
      <c r="Q58"/>
      <c r="R58"/>
      <c r="T58"/>
      <c r="W58"/>
    </row>
    <row r="59" spans="2:23" ht="38.25">
      <c r="B59" s="775">
        <f t="shared" si="1"/>
        <v>57</v>
      </c>
      <c r="C59" s="73">
        <v>7</v>
      </c>
      <c r="D59" s="841" t="s">
        <v>108</v>
      </c>
      <c r="E59" s="424">
        <v>0</v>
      </c>
      <c r="F59" s="772"/>
      <c r="G59" s="786" cm="1">
        <f t="array" ref="G59">IFERROR( INDEX(鍵盤設計表[台語音標], MATCH(TRUE, EXACT(注音編碼對照表[[#This Row],[方音符號]], 鍵盤設計表[方音符號]),0)), "")</f>
        <v>0</v>
      </c>
      <c r="H59" s="509" cm="1">
        <f t="array" ref="H59">IFERROR( INDEX(鍵盤設計表[注音二式], MATCH(TRUE, EXACT(注音編碼對照表[[#This Row],[方音符號]], 鍵盤設計表[方音符號]),0)),"")</f>
        <v>0</v>
      </c>
      <c r="I59" s="509" cm="1">
        <f t="array" ref="I59">IFERROR( INDEX(鍵盤設計表[閩拼方案], MATCH(TRUE, EXACT(注音編碼對照表[[#This Row],[方音符號]], 鍵盤設計表[方音符號]),0)), "")</f>
        <v>0</v>
      </c>
      <c r="J59" s="839" t="str" cm="1">
        <f t="array" ref="J59">IFERROR( INDEX(鍵盤設計表[聲韻調], MATCH(TRUE, EXACT(注音編碼對照表[[#This Row],[方音符號]], 鍵盤設計表[方音符號]),0)), "")</f>
        <v>調</v>
      </c>
      <c r="L59" s="830" t="s">
        <v>108</v>
      </c>
      <c r="Q59"/>
      <c r="R59"/>
      <c r="T59"/>
      <c r="W59"/>
    </row>
    <row r="60" spans="2:23" ht="32.25">
      <c r="B60" s="778">
        <f t="shared" si="1"/>
        <v>58</v>
      </c>
      <c r="C60" s="73" t="s">
        <v>594</v>
      </c>
      <c r="D60" s="844" t="s">
        <v>8767</v>
      </c>
      <c r="E60" s="424">
        <v>9</v>
      </c>
      <c r="F60" s="772"/>
      <c r="G60" s="786" cm="1">
        <f t="array" ref="G60">IFERROR( INDEX(鍵盤設計表[台語音標], MATCH(TRUE, EXACT(注音編碼對照表[[#This Row],[方音符號]], 鍵盤設計表[方音符號]),0)), "")</f>
        <v>9</v>
      </c>
      <c r="H60" s="509" cm="1">
        <f t="array" ref="H60">IFERROR( INDEX(鍵盤設計表[注音二式], MATCH(TRUE, EXACT(注音編碼對照表[[#This Row],[方音符號]], 鍵盤設計表[方音符號]),0)),"")</f>
        <v>9</v>
      </c>
      <c r="I60" s="509" cm="1">
        <f t="array" ref="I60">IFERROR( INDEX(鍵盤設計表[閩拼方案], MATCH(TRUE, EXACT(注音編碼對照表[[#This Row],[方音符號]], 鍵盤設計表[方音符號]),0)), "")</f>
        <v>9</v>
      </c>
      <c r="J60" s="839" t="str" cm="1">
        <f t="array" ref="J60">IFERROR( INDEX(鍵盤設計表[聲韻調], MATCH(TRUE, EXACT(注音編碼對照表[[#This Row],[方音符號]], 鍵盤設計表[方音符號]),0)), "")</f>
        <v>鍵</v>
      </c>
      <c r="L60"/>
      <c r="Q60"/>
      <c r="R60"/>
      <c r="T60"/>
      <c r="W60"/>
    </row>
    <row r="61" spans="2:23" ht="32.25">
      <c r="B61" s="778">
        <f t="shared" si="1"/>
        <v>59</v>
      </c>
      <c r="C61" s="73" t="s">
        <v>517</v>
      </c>
      <c r="D61" s="844" t="s">
        <v>626</v>
      </c>
      <c r="E61" s="424" t="s">
        <v>231</v>
      </c>
      <c r="F61" s="772"/>
      <c r="G61" s="786" t="str" cm="1">
        <f t="array" ref="G61">IFERROR( INDEX(鍵盤設計表[台語音標], MATCH(TRUE, EXACT(注音編碼對照表[[#This Row],[方音符號]], 鍵盤設計表[方音符號]),0)), "")</f>
        <v>nn</v>
      </c>
      <c r="H61" s="509" t="str" cm="1">
        <f t="array" ref="H61">IFERROR( INDEX(鍵盤設計表[注音二式], MATCH(TRUE, EXACT(注音編碼對照表[[#This Row],[方音符號]], 鍵盤設計表[方音符號]),0)),"")</f>
        <v>nn</v>
      </c>
      <c r="I61" s="509" t="str" cm="1">
        <f t="array" ref="I61">IFERROR( INDEX(鍵盤設計表[閩拼方案], MATCH(TRUE, EXACT(注音編碼對照表[[#This Row],[方音符號]], 鍵盤設計表[方音符號]),0)), "")</f>
        <v>nn</v>
      </c>
      <c r="J61" s="839" t="str" cm="1">
        <f t="array" ref="J61">IFERROR( INDEX(鍵盤設計表[聲韻調], MATCH(TRUE, EXACT(注音編碼對照表[[#This Row],[方音符號]], 鍵盤設計表[方音符號]),0)), "")</f>
        <v>鍵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845" t="s">
        <v>8765</v>
      </c>
      <c r="E62" s="424" t="s">
        <v>281</v>
      </c>
      <c r="F62" s="455"/>
      <c r="G62" s="786" t="str" cm="1">
        <f t="array" ref="G62">IFERROR( INDEX(鍵盤設計表[台語音標], MATCH(TRUE, EXACT(注音編碼對照表[[#This Row],[方音符號]], 鍵盤設計表[方音符號]),0)), "")</f>
        <v>*nn</v>
      </c>
      <c r="H62" s="509" t="str" cm="1">
        <f t="array" ref="H62">IFERROR( INDEX(鍵盤設計表[注音二式], MATCH(TRUE, EXACT(注音編碼對照表[[#This Row],[方音符號]], 鍵盤設計表[方音符號]),0)),"")</f>
        <v>*nn</v>
      </c>
      <c r="I62" s="509" t="str" cm="1">
        <f t="array" ref="I62">IFERROR( INDEX(鍵盤設計表[閩拼方案], MATCH(TRUE, EXACT(注音編碼對照表[[#This Row],[方音符號]], 鍵盤設計表[方音符號]),0)), "")</f>
        <v>*nn</v>
      </c>
      <c r="J62" s="839" t="str" cm="1">
        <f t="array" ref="J62">IFERROR( INDEX(鍵盤設計表[聲韻調], MATCH(TRUE, EXACT(注音編碼對照表[[#This Row],[方音符號]], 鍵盤設計表[方音符號]),0)), "")</f>
        <v>鍵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8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G108"/>
  <sheetViews>
    <sheetView tabSelected="1" topLeftCell="A50" zoomScale="40" zoomScaleNormal="40" workbookViewId="0">
      <selection activeCell="BV64" sqref="BV5:BV64"/>
    </sheetView>
    <sheetView tabSelected="1" topLeftCell="A31" zoomScale="40" zoomScaleNormal="40" workbookViewId="1">
      <selection activeCell="BB28" sqref="BB28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14" customWidth="1"/>
    <col min="69" max="69" width="13.69921875" style="815" customWidth="1"/>
    <col min="70" max="70" width="13.69921875" style="814" customWidth="1"/>
    <col min="71" max="71" width="13.69921875" style="816" customWidth="1"/>
    <col min="72" max="72" width="13.69921875" style="814" customWidth="1"/>
    <col min="73" max="73" width="7.19921875" style="145"/>
    <col min="74" max="74" width="62.296875" style="548" customWidth="1"/>
    <col min="75" max="75" width="23.796875" style="237" bestFit="1" customWidth="1"/>
    <col min="76" max="76" width="6.19921875" style="145" customWidth="1"/>
    <col min="77" max="77" width="15.19921875" style="145" customWidth="1"/>
    <col min="78" max="78" width="15.19921875" customWidth="1"/>
    <col min="79" max="82" width="15.19921875" style="145" customWidth="1"/>
    <col min="83" max="83" width="7.19921875" style="145"/>
    <col min="84" max="84" width="75.19921875" style="698" customWidth="1"/>
    <col min="85" max="85" width="6.19921875" style="145" customWidth="1"/>
    <col min="86" max="86" width="15.19921875" style="145" customWidth="1"/>
    <col min="87" max="87" width="15.19921875" customWidth="1"/>
    <col min="88" max="91" width="15.19921875" style="145" customWidth="1"/>
    <col min="92" max="92" width="7.19921875" style="145"/>
    <col min="93" max="93" width="69.8984375" style="698" bestFit="1" customWidth="1"/>
    <col min="94" max="94" width="6.19921875" style="145" customWidth="1"/>
    <col min="95" max="95" width="15.19921875" customWidth="1"/>
    <col min="96" max="100" width="15.19921875" style="145" customWidth="1"/>
    <col min="101" max="101" width="7.19921875" style="145"/>
    <col min="102" max="102" width="72.59765625" style="698" bestFit="1" customWidth="1"/>
    <col min="103" max="103" width="6.19921875" style="145" customWidth="1"/>
    <col min="104" max="104" width="15.19921875" customWidth="1"/>
    <col min="105" max="109" width="15.19921875" style="145" customWidth="1"/>
    <col min="110" max="110" width="7.19921875" style="145"/>
    <col min="111" max="111" width="67.09765625" style="698" bestFit="1" customWidth="1"/>
    <col min="112" max="16384" width="7.19921875" style="145"/>
  </cols>
  <sheetData>
    <row r="1" spans="1:111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Y1" s="699" t="s">
        <v>8713</v>
      </c>
      <c r="BZ1" s="699" t="s">
        <v>8713</v>
      </c>
      <c r="CA1" s="699" t="s">
        <v>835</v>
      </c>
      <c r="CH1" s="699" t="s">
        <v>8713</v>
      </c>
      <c r="CI1" s="699" t="s">
        <v>8713</v>
      </c>
      <c r="CJ1" s="699" t="s">
        <v>8805</v>
      </c>
      <c r="CQ1" s="699" t="s">
        <v>8713</v>
      </c>
      <c r="CR1" s="699" t="s">
        <v>835</v>
      </c>
      <c r="CS1" s="147"/>
      <c r="CZ1" s="699" t="s">
        <v>8713</v>
      </c>
      <c r="DA1" s="147"/>
      <c r="DB1" s="147"/>
    </row>
    <row r="2" spans="1:111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14"/>
      <c r="BP2" s="814"/>
      <c r="BQ2" s="815"/>
      <c r="BR2" s="814"/>
      <c r="BS2" s="816"/>
      <c r="BT2" s="814"/>
      <c r="BU2" s="145"/>
      <c r="BV2" s="548"/>
      <c r="BW2" s="237"/>
      <c r="BX2" s="145"/>
      <c r="BY2" s="697" t="s">
        <v>8716</v>
      </c>
      <c r="BZ2" s="697" t="s">
        <v>8719</v>
      </c>
      <c r="CA2" s="697" t="s">
        <v>484</v>
      </c>
      <c r="CF2" s="698"/>
      <c r="CG2" s="145"/>
      <c r="CH2" s="697" t="s">
        <v>8716</v>
      </c>
      <c r="CI2" s="697" t="s">
        <v>8719</v>
      </c>
      <c r="CJ2" s="697"/>
      <c r="CO2" s="698"/>
      <c r="CP2" s="145"/>
      <c r="CQ2" s="697" t="s">
        <v>8714</v>
      </c>
      <c r="CR2" s="697" t="s">
        <v>484</v>
      </c>
      <c r="CX2" s="698"/>
      <c r="CY2" s="145"/>
      <c r="CZ2" s="697" t="s">
        <v>8755</v>
      </c>
      <c r="DG2" s="698"/>
    </row>
    <row r="3" spans="1:111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O3" s="6" t="s">
        <v>550</v>
      </c>
      <c r="BP3" s="817"/>
      <c r="BQ3" s="818"/>
      <c r="BR3" s="817"/>
      <c r="BS3" s="817"/>
      <c r="BT3" s="817"/>
      <c r="BV3" s="548"/>
      <c r="BW3" s="242"/>
      <c r="CF3" s="698"/>
      <c r="CO3" s="698"/>
      <c r="CX3" s="698"/>
      <c r="DG3" s="698"/>
    </row>
    <row r="4" spans="1:111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1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19" t="s">
        <v>17</v>
      </c>
      <c r="BP4" s="820" t="s">
        <v>8736</v>
      </c>
      <c r="BQ4" s="732" t="s">
        <v>386</v>
      </c>
      <c r="BR4" s="821" t="s">
        <v>8798</v>
      </c>
      <c r="BS4" s="821" t="s">
        <v>8713</v>
      </c>
      <c r="BT4" s="822" t="s">
        <v>8712</v>
      </c>
      <c r="BU4" s="147"/>
      <c r="BW4" s="242"/>
      <c r="BX4" s="2"/>
      <c r="BY4" s="800" t="s">
        <v>17</v>
      </c>
      <c r="BZ4" s="114" t="s">
        <v>19</v>
      </c>
      <c r="CA4" s="739" t="s">
        <v>386</v>
      </c>
      <c r="CB4" s="736" t="s">
        <v>8798</v>
      </c>
      <c r="CC4" s="736" t="s">
        <v>8713</v>
      </c>
      <c r="CD4" s="738" t="s">
        <v>8712</v>
      </c>
      <c r="CG4" s="2"/>
      <c r="CH4" s="800" t="s">
        <v>17</v>
      </c>
      <c r="CI4" s="114" t="s">
        <v>19</v>
      </c>
      <c r="CJ4" s="739" t="s">
        <v>386</v>
      </c>
      <c r="CK4" s="736" t="s">
        <v>8798</v>
      </c>
      <c r="CL4" s="736" t="s">
        <v>8713</v>
      </c>
      <c r="CM4" s="738" t="s">
        <v>8712</v>
      </c>
      <c r="CP4" s="2"/>
      <c r="CQ4" s="800" t="s">
        <v>17</v>
      </c>
      <c r="CR4" s="114" t="s">
        <v>19</v>
      </c>
      <c r="CS4" s="739" t="s">
        <v>386</v>
      </c>
      <c r="CT4" s="736" t="s">
        <v>8798</v>
      </c>
      <c r="CU4" s="736" t="s">
        <v>8713</v>
      </c>
      <c r="CV4" s="738" t="s">
        <v>8712</v>
      </c>
      <c r="CY4" s="2"/>
      <c r="CZ4" s="800" t="s">
        <v>17</v>
      </c>
      <c r="DA4" s="114" t="s">
        <v>19</v>
      </c>
      <c r="DB4" s="739" t="s">
        <v>386</v>
      </c>
      <c r="DC4" s="736" t="s">
        <v>8798</v>
      </c>
      <c r="DD4" s="736" t="s">
        <v>8713</v>
      </c>
      <c r="DE4" s="738" t="s">
        <v>8712</v>
      </c>
    </row>
    <row r="5" spans="1:111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23" t="str" cm="1">
        <f t="array" ref="BO5" xml:space="preserve"> INDEX(_xlfn.ANCHORARRAY($D$17), 1, $BN5)</f>
        <v>m</v>
      </c>
      <c r="BP5" s="820" t="str" cm="1">
        <f t="array" ref="BP5" xml:space="preserve"> INDEX(_xlfn.ANCHORARRAY($D$18), 1, $BN5)</f>
        <v>a</v>
      </c>
      <c r="BQ5" s="732" t="str" cm="1">
        <f t="array" ref="BQ5" xml:space="preserve"> INDEX(_xlfn.ANCHORARRAY($D$19), 1, $BN5)</f>
        <v>ㄇ</v>
      </c>
      <c r="BR5" s="824" t="str" cm="1">
        <f t="array" ref="BR5" xml:space="preserve"> INDEX(_xlfn.ANCHORARRAY($D$20), 1, $BN5)</f>
        <v>bbn</v>
      </c>
      <c r="BS5" s="825" t="str" cm="1">
        <f t="array" ref="BS5" xml:space="preserve"> INDEX(注音編碼對照表[聲韻調], MATCH(TRUE, EXACT($BP5, 注音編碼對照表[鍵盤按鍵]), 0))</f>
        <v>聲</v>
      </c>
      <c r="BT5" s="826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263"/>
      <c r="BX5" s="262">
        <f xml:space="preserve"> ROW() - 4</f>
        <v>1</v>
      </c>
      <c r="BY5" s="801" t="str" cm="1">
        <f t="array" ref="BY5:CD28" xml:space="preserve"> _xlfn._xlws.SORT( _xlfn._xlws.FILTER($BO5:$BT65,($BS5:$BS65=BY2)*($BS5:$BS65&lt;&gt;BZ2), "無符合資料"), 6, -1)</f>
        <v>x</v>
      </c>
      <c r="BZ5" s="734" t="str">
        <v>(</v>
      </c>
      <c r="CA5" s="732" t="str">
        <v>ㆮ</v>
      </c>
      <c r="CB5" s="113" t="str">
        <v>nai</v>
      </c>
      <c r="CC5" s="733" t="str">
        <v>韻</v>
      </c>
      <c r="CD5" s="735">
        <v>3</v>
      </c>
      <c r="CF5" s="698" t="str">
        <f t="shared" ref="CF5:CF6" si="0" xml:space="preserve"> IFERROR( IF(LEN(BY5)=0, "", IF(BY5=CB5, "", "    - xform/" &amp; CB5 &amp; "/" &amp; BY5 &amp; "/  # " &amp; "【" &amp; BZ5 &amp; "】 ==&gt; " &amp; CC5 &amp; "： " &amp; CA5 &amp; " [" &amp; CB5 &amp; "]")), "")</f>
        <v xml:space="preserve">    - xform/nai/x/  # 【(】 ==&gt; 韻： ㆮ [nai]</v>
      </c>
      <c r="CG5" s="262">
        <f xml:space="preserve"> ROW() - 4</f>
        <v>1</v>
      </c>
      <c r="CH5" s="801" t="str" cm="1">
        <f t="array" ref="CH5:CM13" xml:space="preserve"> _xlfn._xlws.SORT( _xlfn._xlws.FILTER($BO5:$BT65,($BS5:$BS65=CH2)*(LEFT($BR5:$BR65, 1) = "n"), "無符合資料"), 6, -1)</f>
        <v>x</v>
      </c>
      <c r="CI5" s="734" t="str">
        <v>(</v>
      </c>
      <c r="CJ5" s="732" t="str">
        <v>ㆮ</v>
      </c>
      <c r="CK5" s="113" t="str">
        <v>nai</v>
      </c>
      <c r="CL5" s="733" t="str">
        <v>韻</v>
      </c>
      <c r="CM5" s="735">
        <v>3</v>
      </c>
      <c r="CO5" s="698" t="str">
        <f xml:space="preserve"> IFERROR( IF(LEN(CH5)=0, "", IF(EXACT(CH5,CK5), "", "    - xform/" &amp; CK5 &amp; "/" &amp; CH5 &amp; "/  # " &amp; "【" &amp; CI5 &amp; "】 ==&gt; " &amp; CL5 &amp; "： " &amp; CJ5 &amp; " [" &amp; CK5 &amp; "]")), "")</f>
        <v xml:space="preserve">    - xform/nai/x/  # 【(】 ==&gt; 韻： ㆮ [nai]</v>
      </c>
      <c r="CP5" s="262">
        <f xml:space="preserve"> ROW() - 4</f>
        <v>1</v>
      </c>
      <c r="CQ5" s="801" t="str" cm="1">
        <f t="array" ref="CQ5:CV25" xml:space="preserve"> _xlfn._xlws.SORT( _xlfn._xlws.FILTER($BO$5:$BT$65,($BS5:$BS65=CQ2)*($BR5:$BR65&lt;&gt;CR2), "無符合資料"), 6, -1)</f>
        <v>m</v>
      </c>
      <c r="CR5" s="734" t="str">
        <v>a</v>
      </c>
      <c r="CS5" s="732" t="str">
        <v>ㄇ</v>
      </c>
      <c r="CT5" s="113" t="str">
        <v>bbn</v>
      </c>
      <c r="CU5" s="733" t="str">
        <v>聲</v>
      </c>
      <c r="CV5" s="735">
        <v>3</v>
      </c>
      <c r="CX5" s="847" t="str">
        <f xml:space="preserve"> IFERROR( IF(LEN(CQ5)=0, "", IF(EXACT(CQ5,CT5), "", "    - xform/^" &amp; CT5 &amp; "/" &amp; CQ5 &amp; "/  # " &amp; "【" &amp; CR5 &amp; "】 ==&gt; " &amp; CU5 &amp; "： " &amp; CS5 &amp; " [" &amp; CT5 &amp; "]")), "")</f>
        <v xml:space="preserve">    - xform/^bbn/m/  # 【a】 ==&gt; 聲： ㄇ [bbn]</v>
      </c>
      <c r="CY5" s="262">
        <f xml:space="preserve"> ROW() - 4</f>
        <v>1</v>
      </c>
      <c r="CZ5" s="801" cm="1">
        <f t="array" ref="CZ5:DE7" xml:space="preserve"> _xlfn._xlws.FILTER($BO$5:$BT$65,($BS5:$BS65=CZ2), "無符合資料")</f>
        <v>9</v>
      </c>
      <c r="DA5" s="734" t="str">
        <v>.</v>
      </c>
      <c r="DB5" s="732" t="str">
        <v>入</v>
      </c>
      <c r="DC5" s="113">
        <v>9</v>
      </c>
      <c r="DD5" s="733" t="str">
        <v>鍵</v>
      </c>
      <c r="DE5" s="735">
        <v>1</v>
      </c>
      <c r="DG5" s="698"/>
    </row>
    <row r="6" spans="1:111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1" xml:space="preserve"> ROW() - 4</f>
        <v>2</v>
      </c>
      <c r="BO6" s="823" t="str" cm="1">
        <f t="array" ref="BO6" xml:space="preserve"> INDEX(_xlfn.ANCHORARRAY($D$17), 1, $BN6)</f>
        <v>B</v>
      </c>
      <c r="BP6" s="820" t="str" cm="1">
        <f t="array" ref="BP6" xml:space="preserve"> INDEX(_xlfn.ANCHORARRAY($D$18), 1, $BN6)</f>
        <v>!</v>
      </c>
      <c r="BQ6" s="732" t="str" cm="1">
        <f t="array" ref="BQ6" xml:space="preserve"> INDEX(_xlfn.ANCHORARRAY($D$19), 1, $BN6)</f>
        <v>ㆠ</v>
      </c>
      <c r="BR6" s="824" t="str" cm="1">
        <f t="array" ref="BR6" xml:space="preserve"> INDEX(_xlfn.ANCHORARRAY($D$20), 1, $BN6)</f>
        <v>bb</v>
      </c>
      <c r="BS6" s="825" t="str" cm="1">
        <f t="array" ref="BS6" xml:space="preserve"> INDEX(注音編碼對照表[聲韻調], MATCH(TRUE, EXACT($BP6, 注音編碼對照表[鍵盤按鍵]), 0))</f>
        <v>聲</v>
      </c>
      <c r="BT6" s="826">
        <f t="shared" ref="BT6:BT64" si="2" xml:space="preserve"> LEN(BR6)</f>
        <v>2</v>
      </c>
      <c r="BV6" s="549" t="str">
        <f t="shared" ref="BV6:BV64" si="3" xml:space="preserve"> "    """ &amp; BP6 &amp; """: { commit: """ &amp; BQ6 &amp; """ }" &amp; "  # " &amp; "/" &amp; BR6 &amp; "/ ==&gt; " &amp; BO6</f>
        <v xml:space="preserve">    "!": { commit: "ㆠ" }  # /bb/ ==&gt; B</v>
      </c>
      <c r="BW6" s="263"/>
      <c r="BX6" s="262">
        <f t="shared" ref="BX6:BX64" si="4" xml:space="preserve"> ROW() - 4</f>
        <v>2</v>
      </c>
      <c r="BY6" s="801" t="str">
        <v>y</v>
      </c>
      <c r="BZ6" s="734" t="str">
        <v>L</v>
      </c>
      <c r="CA6" s="732" t="str">
        <v>ㆯ</v>
      </c>
      <c r="CB6" s="113" t="str">
        <v>nau</v>
      </c>
      <c r="CC6" s="733" t="str">
        <v>韻</v>
      </c>
      <c r="CD6" s="735">
        <v>3</v>
      </c>
      <c r="CF6" s="698" t="str">
        <f t="shared" si="0"/>
        <v xml:space="preserve">    - xform/nau/y/  # 【L】 ==&gt; 韻： ㆯ [nau]</v>
      </c>
      <c r="CG6" s="262">
        <f t="shared" ref="CG6:CG64" si="5" xml:space="preserve"> ROW() - 4</f>
        <v>2</v>
      </c>
      <c r="CH6" s="801" t="str">
        <v>y</v>
      </c>
      <c r="CI6" s="734" t="str">
        <v>L</v>
      </c>
      <c r="CJ6" s="732" t="str">
        <v>ㆯ</v>
      </c>
      <c r="CK6" s="113" t="str">
        <v>nau</v>
      </c>
      <c r="CL6" s="733" t="str">
        <v>韻</v>
      </c>
      <c r="CM6" s="735">
        <v>3</v>
      </c>
      <c r="CO6" s="698" t="str">
        <f t="shared" ref="CO6:CO27" si="6" xml:space="preserve"> IFERROR( IF(LEN(CH6)=0, "", IF(EXACT(CH6,CK6), "", "    - xform/" &amp; CK6 &amp; "/" &amp; CH6 &amp; "/  # " &amp; "【" &amp; CI6 &amp; "】 ==&gt; " &amp; CL6 &amp; "： " &amp; CJ6 &amp; " [" &amp; CK6 &amp; "]")), "")</f>
        <v xml:space="preserve">    - xform/nau/y/  # 【L】 ==&gt; 韻： ㆯ [nau]</v>
      </c>
      <c r="CP6" s="262">
        <f t="shared" ref="CP6:CP64" si="7" xml:space="preserve"> ROW() - 4</f>
        <v>2</v>
      </c>
      <c r="CQ6" s="801" t="str">
        <v>ŋ</v>
      </c>
      <c r="CR6" s="734" t="str">
        <v>N</v>
      </c>
      <c r="CS6" s="732" t="str">
        <v>ㄫ</v>
      </c>
      <c r="CT6" s="113" t="str">
        <v>ggn</v>
      </c>
      <c r="CU6" s="733" t="str">
        <v>聲</v>
      </c>
      <c r="CV6" s="735">
        <v>3</v>
      </c>
      <c r="CX6" s="847" t="str">
        <f t="shared" ref="CX6:CX31" si="8" xml:space="preserve"> IFERROR( IF(LEN(CQ6)=0, "", IF(EXACT(CQ6,CT6), "", "    - xform/^" &amp; CT6 &amp; "/" &amp; CQ6 &amp; "/  # " &amp; "【" &amp; CR6 &amp; "】 ==&gt; " &amp; CU6 &amp; "： " &amp; CS6 &amp; " [" &amp; CT6 &amp; "]")), "")</f>
        <v xml:space="preserve">    - xform/^ggn/ŋ/  # 【N】 ==&gt; 聲： ㄫ [ggn]</v>
      </c>
      <c r="CY6" s="262">
        <f t="shared" ref="CY6:CY64" si="9" xml:space="preserve"> ROW() - 4</f>
        <v>2</v>
      </c>
      <c r="CZ6" s="801" t="str">
        <v>L</v>
      </c>
      <c r="DA6" s="734" t="str">
        <v>?</v>
      </c>
      <c r="DB6" s="732" t="str">
        <v>ㄥ</v>
      </c>
      <c r="DC6" s="113" t="str">
        <v>nn</v>
      </c>
      <c r="DD6" s="733" t="str">
        <v>鍵</v>
      </c>
      <c r="DE6" s="735">
        <v>2</v>
      </c>
      <c r="DG6" s="698"/>
    </row>
    <row r="7" spans="1:111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1"/>
        <v>3</v>
      </c>
      <c r="BO7" s="823" t="str" cm="1">
        <f t="array" ref="BO7" xml:space="preserve"> INDEX(_xlfn.ANCHORARRAY($D$17), 1, $BN7)</f>
        <v>b</v>
      </c>
      <c r="BP7" s="820" t="str" cm="1">
        <f t="array" ref="BP7" xml:space="preserve"> INDEX(_xlfn.ANCHORARRAY($D$18), 1, $BN7)</f>
        <v>1</v>
      </c>
      <c r="BQ7" s="732" t="str" cm="1">
        <f t="array" ref="BQ7" xml:space="preserve"> INDEX(_xlfn.ANCHORARRAY($D$19), 1, $BN7)</f>
        <v>ㄅ</v>
      </c>
      <c r="BR7" s="824" t="str" cm="1">
        <f t="array" ref="BR7" xml:space="preserve"> INDEX(_xlfn.ANCHORARRAY($D$20), 1, $BN7)</f>
        <v>b</v>
      </c>
      <c r="BS7" s="825" t="str" cm="1">
        <f t="array" ref="BS7" xml:space="preserve"> INDEX(注音編碼對照表[聲韻調], MATCH(TRUE, EXACT($BP7, 注音編碼對照表[鍵盤按鍵]), 0))</f>
        <v>聲</v>
      </c>
      <c r="BT7" s="826">
        <f t="shared" si="2"/>
        <v>1</v>
      </c>
      <c r="BU7" s="147"/>
      <c r="BV7" s="549" t="str">
        <f t="shared" si="3"/>
        <v xml:space="preserve">    "1": { commit: "ㄅ" }  # /b/ ==&gt; b</v>
      </c>
      <c r="BW7" s="263"/>
      <c r="BX7" s="262">
        <f t="shared" si="4"/>
        <v>3</v>
      </c>
      <c r="BY7" s="801" t="str">
        <v>A</v>
      </c>
      <c r="BZ7" s="734" t="str">
        <v>;</v>
      </c>
      <c r="CA7" s="732" t="str">
        <v>ㄤ</v>
      </c>
      <c r="CB7" s="113" t="str">
        <v>ang</v>
      </c>
      <c r="CC7" s="733" t="str">
        <v>韻</v>
      </c>
      <c r="CD7" s="735">
        <v>3</v>
      </c>
      <c r="CF7" s="698" t="str">
        <f xml:space="preserve"> IFERROR( IF(LEN(BY7)=0, "", IF(BY7=CB7, "", "    - xform/" &amp; CB7 &amp; "/" &amp; BY7 &amp; "/  # " &amp; "【" &amp; BZ7 &amp; "】 ==&gt; " &amp; CC7 &amp; "： " &amp; CA7 &amp; " [" &amp; CB7 &amp; "]")), "")</f>
        <v xml:space="preserve">    - xform/ang/A/  # 【;】 ==&gt; 韻： ㄤ [ang]</v>
      </c>
      <c r="CG7" s="262">
        <f t="shared" si="5"/>
        <v>3</v>
      </c>
      <c r="CH7" s="801" t="str">
        <v>R</v>
      </c>
      <c r="CI7" s="734" t="str">
        <v>*</v>
      </c>
      <c r="CJ7" s="732" t="str">
        <v>ㆩ</v>
      </c>
      <c r="CK7" s="113" t="str">
        <v>na</v>
      </c>
      <c r="CL7" s="733" t="str">
        <v>韻</v>
      </c>
      <c r="CM7" s="735">
        <v>2</v>
      </c>
      <c r="CO7" s="698" t="str">
        <f t="shared" si="6"/>
        <v xml:space="preserve">    - xform/na/R/  # 【*】 ==&gt; 韻： ㆩ [na]</v>
      </c>
      <c r="CP7" s="262">
        <f t="shared" si="7"/>
        <v>3</v>
      </c>
      <c r="CQ7" s="801" t="str">
        <v>B</v>
      </c>
      <c r="CR7" s="734" t="str">
        <v>!</v>
      </c>
      <c r="CS7" s="732" t="str">
        <v>ㆠ</v>
      </c>
      <c r="CT7" s="113" t="str">
        <v>bb</v>
      </c>
      <c r="CU7" s="733" t="str">
        <v>聲</v>
      </c>
      <c r="CV7" s="735">
        <v>2</v>
      </c>
      <c r="CX7" s="847" t="str">
        <f t="shared" si="8"/>
        <v xml:space="preserve">    - xform/^bb/B/  # 【!】 ==&gt; 聲： ㆠ [bb]</v>
      </c>
      <c r="CY7" s="262">
        <f t="shared" si="9"/>
        <v>3</v>
      </c>
      <c r="CZ7" s="801" t="str">
        <v>*</v>
      </c>
      <c r="DA7" s="734" t="str">
        <v>-</v>
      </c>
      <c r="DB7" s="732" t="str">
        <v>ñ</v>
      </c>
      <c r="DC7" s="113" t="str">
        <v>*nn</v>
      </c>
      <c r="DD7" s="733" t="str">
        <v>鍵</v>
      </c>
      <c r="DE7" s="735">
        <v>3</v>
      </c>
    </row>
    <row r="8" spans="1:111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1"/>
        <v>4</v>
      </c>
      <c r="BO8" s="823" t="str" cm="1">
        <f t="array" ref="BO8" xml:space="preserve"> INDEX(_xlfn.ANCHORARRAY($D$17), 1, $BN8)</f>
        <v>p</v>
      </c>
      <c r="BP8" s="820" t="str" cm="1">
        <f t="array" ref="BP8" xml:space="preserve"> INDEX(_xlfn.ANCHORARRAY($D$18), 1, $BN8)</f>
        <v>q</v>
      </c>
      <c r="BQ8" s="732" t="str" cm="1">
        <f t="array" ref="BQ8" xml:space="preserve"> INDEX(_xlfn.ANCHORARRAY($D$19), 1, $BN8)</f>
        <v>ㄆ</v>
      </c>
      <c r="BR8" s="824" t="str" cm="1">
        <f t="array" ref="BR8" xml:space="preserve"> INDEX(_xlfn.ANCHORARRAY($D$20), 1, $BN8)</f>
        <v>p</v>
      </c>
      <c r="BS8" s="825" t="str" cm="1">
        <f t="array" ref="BS8" xml:space="preserve"> INDEX(注音編碼對照表[聲韻調], MATCH(TRUE, EXACT($BP8, 注音編碼對照表[鍵盤按鍵]), 0))</f>
        <v>聲</v>
      </c>
      <c r="BT8" s="826">
        <f t="shared" si="2"/>
        <v>1</v>
      </c>
      <c r="BU8" s="145"/>
      <c r="BV8" s="549" t="str">
        <f t="shared" si="3"/>
        <v xml:space="preserve">    "q": { commit: "ㄆ" }  # /p/ ==&gt; p</v>
      </c>
      <c r="BW8" s="263"/>
      <c r="BX8" s="262">
        <f t="shared" si="4"/>
        <v>4</v>
      </c>
      <c r="BY8" s="801" t="str">
        <v>H</v>
      </c>
      <c r="BZ8" s="734" t="str">
        <v>o</v>
      </c>
      <c r="CA8" s="732" t="str">
        <v>ㆲ</v>
      </c>
      <c r="CB8" s="113" t="str">
        <v>ong</v>
      </c>
      <c r="CC8" s="733" t="str">
        <v>韻</v>
      </c>
      <c r="CD8" s="735">
        <v>3</v>
      </c>
      <c r="CF8" s="698" t="str">
        <f t="shared" ref="CF8:CF27" si="10" xml:space="preserve"> IFERROR( IF(LEN(BY8)=0, "", IF(BY8=CB8, "", "    - xform/" &amp; CB8 &amp; "/" &amp; BY8 &amp; "/  # " &amp; "【" &amp; BZ8 &amp; "】 ==&gt; " &amp; CC8 &amp; "： " &amp; CA8 &amp; " [" &amp; CB8 &amp; "]")), "")</f>
        <v xml:space="preserve">    - xform/ong/H/  # 【o】 ==&gt; 韻： ㆲ [ong]</v>
      </c>
      <c r="CG8" s="262">
        <f t="shared" si="5"/>
        <v>4</v>
      </c>
      <c r="CH8" s="801" t="str">
        <v>D</v>
      </c>
      <c r="CI8" s="734" t="str">
        <v>U</v>
      </c>
      <c r="CJ8" s="732" t="str">
        <v>ㆪ</v>
      </c>
      <c r="CK8" s="113" t="str">
        <v>ni</v>
      </c>
      <c r="CL8" s="733" t="str">
        <v>韻</v>
      </c>
      <c r="CM8" s="735">
        <v>2</v>
      </c>
      <c r="CO8" s="698" t="str">
        <f t="shared" si="6"/>
        <v xml:space="preserve">    - xform/ni/D/  # 【U】 ==&gt; 韻： ㆪ [ni]</v>
      </c>
      <c r="CP8" s="262">
        <f t="shared" si="7"/>
        <v>4</v>
      </c>
      <c r="CQ8" s="801" t="str">
        <v>n</v>
      </c>
      <c r="CR8" s="734" t="str">
        <v>s</v>
      </c>
      <c r="CS8" s="732" t="str">
        <v>ㄋ</v>
      </c>
      <c r="CT8" s="113" t="str">
        <v>ln</v>
      </c>
      <c r="CU8" s="733" t="str">
        <v>聲</v>
      </c>
      <c r="CV8" s="735">
        <v>2</v>
      </c>
      <c r="CX8" s="847" t="str">
        <f t="shared" si="8"/>
        <v xml:space="preserve">    - xform/^ln/n/  # 【s】 ==&gt; 聲： ㄋ [ln]</v>
      </c>
      <c r="CY8" s="262">
        <f t="shared" si="9"/>
        <v>4</v>
      </c>
      <c r="CZ8" s="801"/>
      <c r="DA8" s="734"/>
      <c r="DB8" s="732"/>
      <c r="DC8" s="113"/>
      <c r="DD8" s="733"/>
      <c r="DE8" s="735"/>
      <c r="DG8" s="698"/>
    </row>
    <row r="9" spans="1:111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1"/>
        <v>5</v>
      </c>
      <c r="BO9" s="823" t="str" cm="1">
        <f t="array" ref="BO9" xml:space="preserve"> INDEX(_xlfn.ANCHORARRAY($D$17), 1, $BN9)</f>
        <v>n</v>
      </c>
      <c r="BP9" s="820" t="str" cm="1">
        <f t="array" ref="BP9" xml:space="preserve"> INDEX(_xlfn.ANCHORARRAY($D$18), 1, $BN9)</f>
        <v>s</v>
      </c>
      <c r="BQ9" s="732" t="str" cm="1">
        <f t="array" ref="BQ9" xml:space="preserve"> INDEX(_xlfn.ANCHORARRAY($D$19), 1, $BN9)</f>
        <v>ㄋ</v>
      </c>
      <c r="BR9" s="824" t="str" cm="1">
        <f t="array" ref="BR9" xml:space="preserve"> INDEX(_xlfn.ANCHORARRAY($D$20), 1, $BN9)</f>
        <v>ln</v>
      </c>
      <c r="BS9" s="825" t="str" cm="1">
        <f t="array" ref="BS9" xml:space="preserve"> INDEX(注音編碼對照表[聲韻調], MATCH(TRUE, EXACT($BP9, 注音編碼對照表[鍵盤按鍵]), 0))</f>
        <v>聲</v>
      </c>
      <c r="BT9" s="826">
        <f t="shared" si="2"/>
        <v>2</v>
      </c>
      <c r="BV9" s="549" t="str">
        <f t="shared" si="3"/>
        <v xml:space="preserve">    "s": { commit: "ㄋ" }  # /ln/ ==&gt; n</v>
      </c>
      <c r="BW9" s="263"/>
      <c r="BX9" s="262">
        <f t="shared" si="4"/>
        <v>5</v>
      </c>
      <c r="BY9" s="801" t="str">
        <v>w</v>
      </c>
      <c r="BZ9" s="734" t="str">
        <v>K</v>
      </c>
      <c r="CA9" s="732" t="str">
        <v>ㆨ</v>
      </c>
      <c r="CB9" s="113" t="str">
        <v>eu</v>
      </c>
      <c r="CC9" s="733" t="str">
        <v>韻</v>
      </c>
      <c r="CD9" s="735">
        <v>2</v>
      </c>
      <c r="CF9" s="698" t="str">
        <f t="shared" si="10"/>
        <v xml:space="preserve">    - xform/eu/w/  # 【K】 ==&gt; 韻： ㆨ [eu]</v>
      </c>
      <c r="CG9" s="262">
        <f t="shared" si="5"/>
        <v>5</v>
      </c>
      <c r="CH9" s="801" t="str">
        <v>X</v>
      </c>
      <c r="CI9" s="734" t="str">
        <v>J</v>
      </c>
      <c r="CJ9" s="732" t="str">
        <v>ㆫ</v>
      </c>
      <c r="CK9" s="113" t="str">
        <v>nu</v>
      </c>
      <c r="CL9" s="733" t="str">
        <v>韻</v>
      </c>
      <c r="CM9" s="735">
        <v>2</v>
      </c>
      <c r="CO9" s="698" t="str">
        <f t="shared" si="6"/>
        <v xml:space="preserve">    - xform/nu/X/  # 【J】 ==&gt; 韻： ㆫ [nu]</v>
      </c>
      <c r="CP9" s="262">
        <f t="shared" si="7"/>
        <v>5</v>
      </c>
      <c r="CQ9" s="801" t="str">
        <v>v</v>
      </c>
      <c r="CR9" s="734" t="str">
        <v>E</v>
      </c>
      <c r="CS9" s="732" t="str">
        <v>ㆣ</v>
      </c>
      <c r="CT9" s="113" t="str">
        <v>gg</v>
      </c>
      <c r="CU9" s="733" t="str">
        <v>聲</v>
      </c>
      <c r="CV9" s="735">
        <v>2</v>
      </c>
      <c r="CX9" s="847" t="str">
        <f t="shared" si="8"/>
        <v xml:space="preserve">    - xform/^gg/v/  # 【E】 ==&gt; 聲： ㆣ [gg]</v>
      </c>
      <c r="CY9" s="262">
        <f t="shared" si="9"/>
        <v>5</v>
      </c>
      <c r="CZ9" s="801"/>
      <c r="DA9" s="734"/>
      <c r="DB9" s="732"/>
      <c r="DC9" s="113"/>
      <c r="DD9" s="733"/>
      <c r="DE9" s="735"/>
      <c r="DG9" s="698"/>
    </row>
    <row r="10" spans="1:111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1"/>
        <v>6</v>
      </c>
      <c r="BO10" s="823" t="str" cm="1">
        <f t="array" ref="BO10" xml:space="preserve"> INDEX(_xlfn.ANCHORARRAY($D$17), 1, $BN10)</f>
        <v>d</v>
      </c>
      <c r="BP10" s="820" t="str" cm="1">
        <f t="array" ref="BP10" xml:space="preserve"> INDEX(_xlfn.ANCHORARRAY($D$18), 1, $BN10)</f>
        <v>2</v>
      </c>
      <c r="BQ10" s="732" t="str" cm="1">
        <f t="array" ref="BQ10" xml:space="preserve"> INDEX(_xlfn.ANCHORARRAY($D$19), 1, $BN10)</f>
        <v>ㄉ</v>
      </c>
      <c r="BR10" s="824" t="str" cm="1">
        <f t="array" ref="BR10" xml:space="preserve"> INDEX(_xlfn.ANCHORARRAY($D$20), 1, $BN10)</f>
        <v>d</v>
      </c>
      <c r="BS10" s="825" t="str" cm="1">
        <f t="array" ref="BS10" xml:space="preserve"> INDEX(注音編碼對照表[聲韻調], MATCH(TRUE, EXACT($BP10, 注音編碼對照表[鍵盤按鍵]), 0))</f>
        <v>聲</v>
      </c>
      <c r="BT10" s="826">
        <f t="shared" si="2"/>
        <v>1</v>
      </c>
      <c r="BU10" s="147"/>
      <c r="BV10" s="549" t="str">
        <f t="shared" si="3"/>
        <v xml:space="preserve">    "2": { commit: "ㄉ" }  # /d/ ==&gt; d</v>
      </c>
      <c r="BW10" s="263"/>
      <c r="BX10" s="262">
        <f t="shared" si="4"/>
        <v>6</v>
      </c>
      <c r="BY10" s="801" t="str">
        <v>O</v>
      </c>
      <c r="BZ10" s="734" t="str">
        <v>i</v>
      </c>
      <c r="CA10" s="732" t="str">
        <v>ㆦ</v>
      </c>
      <c r="CB10" s="113" t="str">
        <v>oo</v>
      </c>
      <c r="CC10" s="733" t="str">
        <v>韻</v>
      </c>
      <c r="CD10" s="735">
        <v>2</v>
      </c>
      <c r="CF10" s="698" t="str">
        <f t="shared" si="10"/>
        <v xml:space="preserve">    - xform/oo/O/  # 【i】 ==&gt; 韻： ㆦ [oo]</v>
      </c>
      <c r="CG10" s="262">
        <f t="shared" si="5"/>
        <v>6</v>
      </c>
      <c r="CH10" s="801" t="str">
        <v>E</v>
      </c>
      <c r="CI10" s="734" t="str">
        <v>&lt;</v>
      </c>
      <c r="CJ10" s="732" t="str">
        <v>ㆥ</v>
      </c>
      <c r="CK10" s="113" t="str">
        <v>ne</v>
      </c>
      <c r="CL10" s="733" t="str">
        <v>韻</v>
      </c>
      <c r="CM10" s="735">
        <v>2</v>
      </c>
      <c r="CO10" s="698" t="str">
        <f t="shared" si="6"/>
        <v xml:space="preserve">    - xform/ne/E/  # 【&lt;】 ==&gt; 韻： ㆥ [ne]</v>
      </c>
      <c r="CP10" s="262">
        <f t="shared" si="7"/>
        <v>6</v>
      </c>
      <c r="CQ10" s="801" t="str">
        <v>Z</v>
      </c>
      <c r="CR10" s="734" t="str">
        <v>Y</v>
      </c>
      <c r="CS10" s="732" t="str">
        <v>ㆡ</v>
      </c>
      <c r="CT10" s="113" t="str">
        <v>zz</v>
      </c>
      <c r="CU10" s="733" t="str">
        <v>聲</v>
      </c>
      <c r="CV10" s="735">
        <v>2</v>
      </c>
      <c r="CX10" s="847" t="str">
        <f t="shared" si="8"/>
        <v xml:space="preserve">    - xform/^zz/Z/  # 【Y】 ==&gt; 聲： ㆡ [zz]</v>
      </c>
      <c r="CY10" s="262">
        <f t="shared" si="9"/>
        <v>6</v>
      </c>
      <c r="CZ10" s="801"/>
      <c r="DA10" s="734"/>
      <c r="DB10" s="732"/>
      <c r="DC10" s="113"/>
      <c r="DD10" s="733"/>
      <c r="DE10" s="735"/>
    </row>
    <row r="11" spans="1:111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1"/>
        <v>7</v>
      </c>
      <c r="BO11" s="823" t="str" cm="1">
        <f t="array" ref="BO11" xml:space="preserve"> INDEX(_xlfn.ANCHORARRAY($D$17), 1, $BN11)</f>
        <v>t</v>
      </c>
      <c r="BP11" s="820" t="str" cm="1">
        <f t="array" ref="BP11" xml:space="preserve"> INDEX(_xlfn.ANCHORARRAY($D$18), 1, $BN11)</f>
        <v>w</v>
      </c>
      <c r="BQ11" s="732" t="str" cm="1">
        <f t="array" ref="BQ11" xml:space="preserve"> INDEX(_xlfn.ANCHORARRAY($D$19), 1, $BN11)</f>
        <v>ㄊ</v>
      </c>
      <c r="BR11" s="824" t="str" cm="1">
        <f t="array" ref="BR11" xml:space="preserve"> INDEX(_xlfn.ANCHORARRAY($D$20), 1, $BN11)</f>
        <v>t</v>
      </c>
      <c r="BS11" s="825" t="str" cm="1">
        <f t="array" ref="BS11" xml:space="preserve"> INDEX(注音編碼對照表[聲韻調], MATCH(TRUE, EXACT($BP11, 注音編碼對照表[鍵盤按鍵]), 0))</f>
        <v>聲</v>
      </c>
      <c r="BT11" s="826">
        <f t="shared" si="2"/>
        <v>1</v>
      </c>
      <c r="BU11" s="145"/>
      <c r="BV11" s="549" t="str">
        <f t="shared" si="3"/>
        <v xml:space="preserve">    "w": { commit: "ㄊ" }  # /t/ ==&gt; t</v>
      </c>
      <c r="BW11" s="263"/>
      <c r="BX11" s="262">
        <f t="shared" si="4"/>
        <v>7</v>
      </c>
      <c r="BY11" s="801" t="str">
        <v>I</v>
      </c>
      <c r="BZ11" s="734" t="str">
        <v>9</v>
      </c>
      <c r="CA11" s="732" t="str">
        <v>ㄞ</v>
      </c>
      <c r="CB11" s="113" t="str">
        <v>ai</v>
      </c>
      <c r="CC11" s="733" t="str">
        <v>韻</v>
      </c>
      <c r="CD11" s="735">
        <v>2</v>
      </c>
      <c r="CF11" s="698" t="str">
        <f t="shared" si="10"/>
        <v xml:space="preserve">    - xform/ai/I/  # 【9】 ==&gt; 韻： ㄞ [ai]</v>
      </c>
      <c r="CG11" s="262">
        <f t="shared" si="5"/>
        <v>7</v>
      </c>
      <c r="CH11" s="801" t="str">
        <v>Q</v>
      </c>
      <c r="CI11" s="734" t="str">
        <v>I</v>
      </c>
      <c r="CJ11" s="732" t="str">
        <v>ㆧ</v>
      </c>
      <c r="CK11" s="113" t="str">
        <v>no</v>
      </c>
      <c r="CL11" s="733" t="str">
        <v>韻</v>
      </c>
      <c r="CM11" s="735">
        <v>2</v>
      </c>
      <c r="CO11" s="698" t="str">
        <f t="shared" si="6"/>
        <v xml:space="preserve">    - xform/no/Q/  # 【I】 ==&gt; 韻： ㆧ [no]</v>
      </c>
      <c r="CP11" s="262">
        <f t="shared" si="7"/>
        <v>7</v>
      </c>
      <c r="CQ11" s="801" t="str">
        <v>J</v>
      </c>
      <c r="CR11" s="734" t="str">
        <v>R</v>
      </c>
      <c r="CS11" s="732" t="str">
        <v>ㆢ</v>
      </c>
      <c r="CT11" s="113" t="str">
        <v>jj</v>
      </c>
      <c r="CU11" s="733" t="str">
        <v>聲</v>
      </c>
      <c r="CV11" s="735">
        <v>2</v>
      </c>
      <c r="CX11" s="847" t="str">
        <f t="shared" si="8"/>
        <v xml:space="preserve">    - xform/^jj/J/  # 【R】 ==&gt; 聲： ㆢ [jj]</v>
      </c>
      <c r="CY11" s="262">
        <f t="shared" si="9"/>
        <v>7</v>
      </c>
      <c r="CZ11" s="801"/>
      <c r="DA11" s="734"/>
      <c r="DB11" s="732"/>
      <c r="DC11" s="113"/>
      <c r="DD11" s="733"/>
      <c r="DE11" s="735"/>
      <c r="DG11" s="698"/>
    </row>
    <row r="12" spans="1:111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2" t="s">
        <v>8758</v>
      </c>
      <c r="AD12" s="743"/>
      <c r="AE12" s="744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1"/>
        <v>8</v>
      </c>
      <c r="BO12" s="823" t="str" cm="1">
        <f t="array" ref="BO12" xml:space="preserve"> INDEX(_xlfn.ANCHORARRAY($D$17), 1, $BN12)</f>
        <v>l</v>
      </c>
      <c r="BP12" s="820" t="str" cm="1">
        <f t="array" ref="BP12" xml:space="preserve"> INDEX(_xlfn.ANCHORARRAY($D$18), 1, $BN12)</f>
        <v>x</v>
      </c>
      <c r="BQ12" s="732" t="str" cm="1">
        <f t="array" ref="BQ12" xml:space="preserve"> INDEX(_xlfn.ANCHORARRAY($D$19), 1, $BN12)</f>
        <v>ㄌ</v>
      </c>
      <c r="BR12" s="824" t="str" cm="1">
        <f t="array" ref="BR12" xml:space="preserve"> INDEX(_xlfn.ANCHORARRAY($D$20), 1, $BN12)</f>
        <v>l</v>
      </c>
      <c r="BS12" s="825" t="str" cm="1">
        <f t="array" ref="BS12" xml:space="preserve"> INDEX(注音編碼對照表[聲韻調], MATCH(TRUE, EXACT($BP12, 注音編碼對照表[鍵盤按鍵]), 0))</f>
        <v>聲</v>
      </c>
      <c r="BT12" s="826">
        <f t="shared" si="2"/>
        <v>1</v>
      </c>
      <c r="BV12" s="549" t="str">
        <f t="shared" si="3"/>
        <v xml:space="preserve">    "x": { commit: "ㄌ" }  # /l/ ==&gt; l</v>
      </c>
      <c r="BW12" s="263"/>
      <c r="BX12" s="262">
        <f t="shared" si="4"/>
        <v>8</v>
      </c>
      <c r="BY12" s="801" t="str">
        <v>U</v>
      </c>
      <c r="BZ12" s="734" t="str">
        <v>l</v>
      </c>
      <c r="CA12" s="732" t="str">
        <v>ㄠ</v>
      </c>
      <c r="CB12" s="113" t="str">
        <v>au</v>
      </c>
      <c r="CC12" s="733" t="str">
        <v>韻</v>
      </c>
      <c r="CD12" s="735">
        <v>2</v>
      </c>
      <c r="CF12" s="698" t="str">
        <f t="shared" si="10"/>
        <v xml:space="preserve">    - xform/au/U/  # 【l】 ==&gt; 韻： ㄠ [au]</v>
      </c>
      <c r="CG12" s="262">
        <f t="shared" si="5"/>
        <v>8</v>
      </c>
      <c r="CH12" s="801" t="str">
        <v>G</v>
      </c>
      <c r="CI12" s="734" t="str">
        <v>/</v>
      </c>
      <c r="CJ12" s="732" t="str">
        <v>ㆭ</v>
      </c>
      <c r="CK12" s="113" t="str">
        <v>ng</v>
      </c>
      <c r="CL12" s="733" t="str">
        <v>韻</v>
      </c>
      <c r="CM12" s="735">
        <v>2</v>
      </c>
      <c r="CO12" s="698" t="str">
        <f t="shared" si="6"/>
        <v xml:space="preserve">    - xform/ng/G/  # 【/】 ==&gt; 韻： ㆭ [ng]</v>
      </c>
      <c r="CP12" s="262">
        <f t="shared" si="7"/>
        <v>8</v>
      </c>
      <c r="CQ12" s="801" t="str">
        <v>C</v>
      </c>
      <c r="CR12" s="734" t="str">
        <v>f</v>
      </c>
      <c r="CS12" s="732" t="str">
        <v>ㄑ</v>
      </c>
      <c r="CT12" s="113" t="str">
        <v>ch</v>
      </c>
      <c r="CU12" s="733" t="str">
        <v>聲</v>
      </c>
      <c r="CV12" s="735">
        <v>2</v>
      </c>
      <c r="CX12" s="847" t="str">
        <f t="shared" si="8"/>
        <v xml:space="preserve">    - xform/^ch/C/  # 【f】 ==&gt; 聲： ㄑ [ch]</v>
      </c>
      <c r="CY12" s="262">
        <f t="shared" si="9"/>
        <v>8</v>
      </c>
      <c r="CZ12" s="801"/>
      <c r="DA12" s="734"/>
      <c r="DB12" s="732"/>
      <c r="DC12" s="113"/>
      <c r="DD12" s="733"/>
      <c r="DE12" s="735"/>
      <c r="DG12" s="698"/>
    </row>
    <row r="13" spans="1:111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1"/>
        <v>9</v>
      </c>
      <c r="BO13" s="823" t="str" cm="1">
        <f t="array" ref="BO13" xml:space="preserve"> INDEX(_xlfn.ANCHORARRAY($D$17), 1, $BN13)</f>
        <v>ŋ</v>
      </c>
      <c r="BP13" s="820" t="str" cm="1">
        <f t="array" ref="BP13" xml:space="preserve"> INDEX(_xlfn.ANCHORARRAY($D$18), 1, $BN13)</f>
        <v>N</v>
      </c>
      <c r="BQ13" s="732" t="str" cm="1">
        <f t="array" ref="BQ13" xml:space="preserve"> INDEX(_xlfn.ANCHORARRAY($D$19), 1, $BN13)</f>
        <v>ㄫ</v>
      </c>
      <c r="BR13" s="824" t="str" cm="1">
        <f t="array" ref="BR13" xml:space="preserve"> INDEX(_xlfn.ANCHORARRAY($D$20), 1, $BN13)</f>
        <v>ggn</v>
      </c>
      <c r="BS13" s="825" t="str" cm="1">
        <f t="array" ref="BS13" xml:space="preserve"> INDEX(注音編碼對照表[聲韻調], MATCH(TRUE, EXACT($BP13, 注音編碼對照表[鍵盤按鍵]), 0))</f>
        <v>聲</v>
      </c>
      <c r="BT13" s="826">
        <f t="shared" si="2"/>
        <v>3</v>
      </c>
      <c r="BU13" s="147"/>
      <c r="BV13" s="549" t="str">
        <f t="shared" si="3"/>
        <v xml:space="preserve">    "N": { commit: "ㄫ" }  # /ggn/ ==&gt; ŋ</v>
      </c>
      <c r="BW13" s="263"/>
      <c r="BX13" s="262">
        <f t="shared" si="4"/>
        <v>9</v>
      </c>
      <c r="BY13" s="801" t="str">
        <v>R</v>
      </c>
      <c r="BZ13" s="734" t="str">
        <v>*</v>
      </c>
      <c r="CA13" s="732" t="str">
        <v>ㆩ</v>
      </c>
      <c r="CB13" s="113" t="str">
        <v>na</v>
      </c>
      <c r="CC13" s="733" t="str">
        <v>韻</v>
      </c>
      <c r="CD13" s="735">
        <v>2</v>
      </c>
      <c r="CF13" s="698" t="str">
        <f t="shared" si="10"/>
        <v xml:space="preserve">    - xform/na/R/  # 【*】 ==&gt; 韻： ㆩ [na]</v>
      </c>
      <c r="CG13" s="262">
        <f t="shared" si="5"/>
        <v>9</v>
      </c>
      <c r="CH13" s="801" t="str">
        <v>N</v>
      </c>
      <c r="CI13" s="734" t="str">
        <v>p</v>
      </c>
      <c r="CJ13" s="732" t="str">
        <v>ㄣ</v>
      </c>
      <c r="CK13" s="113" t="str">
        <v>n</v>
      </c>
      <c r="CL13" s="733" t="str">
        <v>韻</v>
      </c>
      <c r="CM13" s="735">
        <v>1</v>
      </c>
      <c r="CO13" s="698" t="str">
        <f t="shared" si="6"/>
        <v xml:space="preserve">    - xform/n/N/  # 【p】 ==&gt; 韻： ㄣ [n]</v>
      </c>
      <c r="CP13" s="262">
        <f t="shared" si="7"/>
        <v>9</v>
      </c>
      <c r="CQ13" s="801" t="str">
        <v>S</v>
      </c>
      <c r="CR13" s="734" t="str">
        <v>v</v>
      </c>
      <c r="CS13" s="732" t="str">
        <v>ㄒ</v>
      </c>
      <c r="CT13" s="113" t="str">
        <v>sh</v>
      </c>
      <c r="CU13" s="733" t="str">
        <v>聲</v>
      </c>
      <c r="CV13" s="735">
        <v>2</v>
      </c>
      <c r="CX13" s="847" t="str">
        <f t="shared" si="8"/>
        <v xml:space="preserve">    - xform/^sh/S/  # 【v】 ==&gt; 聲： ㄒ [sh]</v>
      </c>
      <c r="CY13" s="262">
        <f t="shared" si="9"/>
        <v>9</v>
      </c>
      <c r="CZ13" s="801"/>
      <c r="DA13" s="734"/>
      <c r="DB13" s="732"/>
      <c r="DC13" s="113"/>
      <c r="DD13" s="733"/>
      <c r="DE13" s="735"/>
    </row>
    <row r="14" spans="1:111" ht="45" customHeight="1">
      <c r="BJ14" s="147"/>
      <c r="BK14" s="147"/>
      <c r="BN14" s="262">
        <f t="shared" si="1"/>
        <v>10</v>
      </c>
      <c r="BO14" s="823" t="str" cm="1">
        <f t="array" ref="BO14" xml:space="preserve"> INDEX(_xlfn.ANCHORARRAY($D$17), 1, $BN14)</f>
        <v>v</v>
      </c>
      <c r="BP14" s="820" t="str" cm="1">
        <f t="array" ref="BP14" xml:space="preserve"> INDEX(_xlfn.ANCHORARRAY($D$18), 1, $BN14)</f>
        <v>E</v>
      </c>
      <c r="BQ14" s="732" t="str" cm="1">
        <f t="array" ref="BQ14" xml:space="preserve"> INDEX(_xlfn.ANCHORARRAY($D$19), 1, $BN14)</f>
        <v>ㆣ</v>
      </c>
      <c r="BR14" s="824" t="str" cm="1">
        <f t="array" ref="BR14" xml:space="preserve"> INDEX(_xlfn.ANCHORARRAY($D$20), 1, $BN14)</f>
        <v>gg</v>
      </c>
      <c r="BS14" s="825" t="str" cm="1">
        <f t="array" ref="BS14" xml:space="preserve"> INDEX(注音編碼對照表[聲韻調], MATCH(TRUE, EXACT($BP14, 注音編碼對照表[鍵盤按鍵]), 0))</f>
        <v>聲</v>
      </c>
      <c r="BT14" s="826">
        <f t="shared" si="2"/>
        <v>2</v>
      </c>
      <c r="BV14" s="549" t="str">
        <f t="shared" si="3"/>
        <v xml:space="preserve">    "E": { commit: "ㆣ" }  # /gg/ ==&gt; v</v>
      </c>
      <c r="BW14" s="263"/>
      <c r="BX14" s="262">
        <f t="shared" si="4"/>
        <v>10</v>
      </c>
      <c r="BY14" s="801" t="str">
        <v>D</v>
      </c>
      <c r="BZ14" s="734" t="str">
        <v>U</v>
      </c>
      <c r="CA14" s="732" t="str">
        <v>ㆪ</v>
      </c>
      <c r="CB14" s="113" t="str">
        <v>ni</v>
      </c>
      <c r="CC14" s="733" t="str">
        <v>韻</v>
      </c>
      <c r="CD14" s="735">
        <v>2</v>
      </c>
      <c r="CF14" s="698" t="str">
        <f t="shared" si="10"/>
        <v xml:space="preserve">    - xform/ni/D/  # 【U】 ==&gt; 韻： ㆪ [ni]</v>
      </c>
      <c r="CG14" s="262">
        <f t="shared" si="5"/>
        <v>10</v>
      </c>
      <c r="CH14" s="801"/>
      <c r="CI14" s="734"/>
      <c r="CJ14" s="732"/>
      <c r="CK14" s="113"/>
      <c r="CL14" s="733"/>
      <c r="CM14" s="735"/>
      <c r="CO14" s="698" t="str">
        <f t="shared" si="6"/>
        <v/>
      </c>
      <c r="CP14" s="262">
        <f t="shared" si="7"/>
        <v>10</v>
      </c>
      <c r="CQ14" s="801" t="str">
        <v>b</v>
      </c>
      <c r="CR14" s="734" t="str">
        <v>1</v>
      </c>
      <c r="CS14" s="732" t="str">
        <v>ㄅ</v>
      </c>
      <c r="CT14" s="113" t="str">
        <v>b</v>
      </c>
      <c r="CU14" s="733" t="str">
        <v>聲</v>
      </c>
      <c r="CV14" s="735">
        <v>1</v>
      </c>
      <c r="CX14" s="847" t="str">
        <f t="shared" si="8"/>
        <v/>
      </c>
      <c r="CY14" s="262">
        <f t="shared" si="9"/>
        <v>10</v>
      </c>
      <c r="CZ14" s="801"/>
      <c r="DA14" s="734"/>
      <c r="DB14" s="732"/>
      <c r="DC14" s="113"/>
      <c r="DD14" s="733"/>
      <c r="DE14" s="735"/>
    </row>
    <row r="15" spans="1:111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1"/>
        <v>11</v>
      </c>
      <c r="BO15" s="823" t="str" cm="1">
        <f t="array" ref="BO15" xml:space="preserve"> INDEX(_xlfn.ANCHORARRAY($D$17), 1, $BN15)</f>
        <v>g</v>
      </c>
      <c r="BP15" s="820" t="str" cm="1">
        <f t="array" ref="BP15" xml:space="preserve"> INDEX(_xlfn.ANCHORARRAY($D$18), 1, $BN15)</f>
        <v>e</v>
      </c>
      <c r="BQ15" s="732" t="str" cm="1">
        <f t="array" ref="BQ15" xml:space="preserve"> INDEX(_xlfn.ANCHORARRAY($D$19), 1, $BN15)</f>
        <v>ㄍ</v>
      </c>
      <c r="BR15" s="824" t="str" cm="1">
        <f t="array" ref="BR15" xml:space="preserve"> INDEX(_xlfn.ANCHORARRAY($D$20), 1, $BN15)</f>
        <v>g</v>
      </c>
      <c r="BS15" s="825" t="str" cm="1">
        <f t="array" ref="BS15" xml:space="preserve"> INDEX(注音編碼對照表[聲韻調], MATCH(TRUE, EXACT($BP15, 注音編碼對照表[鍵盤按鍵]), 0))</f>
        <v>聲</v>
      </c>
      <c r="BT15" s="826">
        <f t="shared" si="2"/>
        <v>1</v>
      </c>
      <c r="BU15" s="145"/>
      <c r="BV15" s="549" t="str">
        <f t="shared" si="3"/>
        <v xml:space="preserve">    "e": { commit: "ㄍ" }  # /g/ ==&gt; g</v>
      </c>
      <c r="BW15" s="263"/>
      <c r="BX15" s="262">
        <f t="shared" si="4"/>
        <v>11</v>
      </c>
      <c r="BY15" s="801" t="str">
        <v>X</v>
      </c>
      <c r="BZ15" s="734" t="str">
        <v>J</v>
      </c>
      <c r="CA15" s="732" t="str">
        <v>ㆫ</v>
      </c>
      <c r="CB15" s="113" t="str">
        <v>nu</v>
      </c>
      <c r="CC15" s="733" t="str">
        <v>韻</v>
      </c>
      <c r="CD15" s="735">
        <v>2</v>
      </c>
      <c r="CF15" s="698" t="str">
        <f t="shared" si="10"/>
        <v xml:space="preserve">    - xform/nu/X/  # 【J】 ==&gt; 韻： ㆫ [nu]</v>
      </c>
      <c r="CG15" s="262">
        <f t="shared" si="5"/>
        <v>11</v>
      </c>
      <c r="CH15" s="801"/>
      <c r="CI15" s="734"/>
      <c r="CJ15" s="732"/>
      <c r="CK15" s="113"/>
      <c r="CL15" s="733"/>
      <c r="CM15" s="735"/>
      <c r="CO15" s="698" t="str">
        <f t="shared" si="6"/>
        <v/>
      </c>
      <c r="CP15" s="262">
        <f t="shared" si="7"/>
        <v>11</v>
      </c>
      <c r="CQ15" s="801" t="str">
        <v>p</v>
      </c>
      <c r="CR15" s="734" t="str">
        <v>q</v>
      </c>
      <c r="CS15" s="732" t="str">
        <v>ㄆ</v>
      </c>
      <c r="CT15" s="113" t="str">
        <v>p</v>
      </c>
      <c r="CU15" s="733" t="str">
        <v>聲</v>
      </c>
      <c r="CV15" s="735">
        <v>1</v>
      </c>
      <c r="CX15" s="847" t="str">
        <f t="shared" si="8"/>
        <v/>
      </c>
      <c r="CY15" s="262">
        <f t="shared" si="9"/>
        <v>11</v>
      </c>
      <c r="CZ15" s="801"/>
      <c r="DA15" s="734"/>
      <c r="DB15" s="732"/>
      <c r="DC15" s="113"/>
      <c r="DD15" s="733"/>
      <c r="DE15" s="735"/>
      <c r="DG15" s="698"/>
    </row>
    <row r="16" spans="1:111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1"/>
        <v>12</v>
      </c>
      <c r="BO16" s="823" t="str" cm="1">
        <f t="array" ref="BO16" xml:space="preserve"> INDEX(_xlfn.ANCHORARRAY($D$17), 1, $BN16)</f>
        <v>k</v>
      </c>
      <c r="BP16" s="820" t="str" cm="1">
        <f t="array" ref="BP16" xml:space="preserve"> INDEX(_xlfn.ANCHORARRAY($D$18), 1, $BN16)</f>
        <v>d</v>
      </c>
      <c r="BQ16" s="732" t="str" cm="1">
        <f t="array" ref="BQ16" xml:space="preserve"> INDEX(_xlfn.ANCHORARRAY($D$19), 1, $BN16)</f>
        <v>ㄎ</v>
      </c>
      <c r="BR16" s="824" t="str" cm="1">
        <f t="array" ref="BR16" xml:space="preserve"> INDEX(_xlfn.ANCHORARRAY($D$20), 1, $BN16)</f>
        <v>k</v>
      </c>
      <c r="BS16" s="825" t="str" cm="1">
        <f t="array" ref="BS16" xml:space="preserve"> INDEX(注音編碼對照表[聲韻調], MATCH(TRUE, EXACT($BP16, 注音編碼對照表[鍵盤按鍵]), 0))</f>
        <v>聲</v>
      </c>
      <c r="BT16" s="826">
        <f t="shared" si="2"/>
        <v>1</v>
      </c>
      <c r="BU16" s="190"/>
      <c r="BV16" s="549" t="str">
        <f t="shared" si="3"/>
        <v xml:space="preserve">    "d": { commit: "ㄎ" }  # /k/ ==&gt; k</v>
      </c>
      <c r="BW16" s="263"/>
      <c r="BX16" s="262">
        <f t="shared" si="4"/>
        <v>12</v>
      </c>
      <c r="BY16" s="801" t="str">
        <v>E</v>
      </c>
      <c r="BZ16" s="734" t="str">
        <v>&lt;</v>
      </c>
      <c r="CA16" s="732" t="str">
        <v>ㆥ</v>
      </c>
      <c r="CB16" s="113" t="str">
        <v>ne</v>
      </c>
      <c r="CC16" s="733" t="str">
        <v>韻</v>
      </c>
      <c r="CD16" s="735">
        <v>2</v>
      </c>
      <c r="CF16" s="698" t="str">
        <f t="shared" si="10"/>
        <v xml:space="preserve">    - xform/ne/E/  # 【&lt;】 ==&gt; 韻： ㆥ [ne]</v>
      </c>
      <c r="CG16" s="262">
        <f t="shared" si="5"/>
        <v>12</v>
      </c>
      <c r="CH16" s="801"/>
      <c r="CI16" s="734"/>
      <c r="CJ16" s="732"/>
      <c r="CK16" s="113"/>
      <c r="CL16" s="733"/>
      <c r="CM16" s="735"/>
      <c r="CO16" s="698" t="str">
        <f t="shared" si="6"/>
        <v/>
      </c>
      <c r="CP16" s="262">
        <f t="shared" si="7"/>
        <v>12</v>
      </c>
      <c r="CQ16" s="801" t="str">
        <v>d</v>
      </c>
      <c r="CR16" s="734" t="str">
        <v>2</v>
      </c>
      <c r="CS16" s="732" t="str">
        <v>ㄉ</v>
      </c>
      <c r="CT16" s="113" t="str">
        <v>d</v>
      </c>
      <c r="CU16" s="733" t="str">
        <v>聲</v>
      </c>
      <c r="CV16" s="735">
        <v>1</v>
      </c>
      <c r="CX16" s="847" t="str">
        <f t="shared" si="8"/>
        <v/>
      </c>
      <c r="CY16" s="262">
        <f t="shared" si="9"/>
        <v>12</v>
      </c>
      <c r="CZ16" s="801"/>
      <c r="DA16" s="734"/>
      <c r="DB16" s="732"/>
      <c r="DC16" s="113"/>
      <c r="DD16" s="733"/>
      <c r="DE16" s="735"/>
      <c r="DG16" s="698"/>
    </row>
    <row r="17" spans="1:111" s="193" customFormat="1" ht="45" customHeight="1">
      <c r="A17" s="281"/>
      <c r="B17" s="515" t="s">
        <v>17</v>
      </c>
      <c r="C17" s="285"/>
      <c r="D17" s="827" t="str" cm="1">
        <f t="array" ref="D17:BK17" xml:space="preserve"> TRANSPOSE(注音編碼對照表[字典編碼])</f>
        <v>m</v>
      </c>
      <c r="E17" s="827" t="str">
        <v>B</v>
      </c>
      <c r="F17" s="827" t="str">
        <v>b</v>
      </c>
      <c r="G17" s="827" t="str">
        <v>p</v>
      </c>
      <c r="H17" s="828" t="str">
        <v>n</v>
      </c>
      <c r="I17" s="827" t="str">
        <v>d</v>
      </c>
      <c r="J17" s="827" t="str">
        <v>t</v>
      </c>
      <c r="K17" s="827" t="str">
        <v>l</v>
      </c>
      <c r="L17" s="827" t="str">
        <v>ŋ</v>
      </c>
      <c r="M17" s="828" t="str">
        <v>v</v>
      </c>
      <c r="N17" s="827" t="str">
        <v>g</v>
      </c>
      <c r="O17" s="827" t="str">
        <v>k</v>
      </c>
      <c r="P17" s="827" t="str">
        <v>Z</v>
      </c>
      <c r="Q17" s="827" t="str">
        <v>z</v>
      </c>
      <c r="R17" s="827" t="str">
        <v>c</v>
      </c>
      <c r="S17" s="827" t="str">
        <v>s</v>
      </c>
      <c r="T17" s="827" t="str">
        <v>J</v>
      </c>
      <c r="U17" s="827" t="str">
        <v>j</v>
      </c>
      <c r="V17" s="827" t="str">
        <v>C</v>
      </c>
      <c r="W17" s="827" t="str">
        <v>S</v>
      </c>
      <c r="X17" s="827" t="str">
        <v>h</v>
      </c>
      <c r="Y17" s="827" t="str">
        <v>a</v>
      </c>
      <c r="Z17" s="827" t="str">
        <v>i</v>
      </c>
      <c r="AA17" s="827" t="str">
        <v>w</v>
      </c>
      <c r="AB17" s="827" t="str">
        <v>u</v>
      </c>
      <c r="AC17" s="827" t="str">
        <v>e</v>
      </c>
      <c r="AD17" s="827" t="str">
        <v>O</v>
      </c>
      <c r="AE17" s="827" t="str">
        <v>o</v>
      </c>
      <c r="AF17" s="827" t="str">
        <v>I</v>
      </c>
      <c r="AG17" s="827" t="str">
        <v>U</v>
      </c>
      <c r="AH17" s="828" t="str">
        <v>R</v>
      </c>
      <c r="AI17" s="828" t="str">
        <v>D</v>
      </c>
      <c r="AJ17" s="828" t="str">
        <v>X</v>
      </c>
      <c r="AK17" s="828" t="str">
        <v>E</v>
      </c>
      <c r="AL17" s="828" t="str">
        <v>Q</v>
      </c>
      <c r="AM17" s="827" t="str">
        <v>x</v>
      </c>
      <c r="AN17" s="827" t="str">
        <v>y</v>
      </c>
      <c r="AO17" s="827" t="str">
        <v>M</v>
      </c>
      <c r="AP17" s="827" t="str">
        <v>N</v>
      </c>
      <c r="AQ17" s="827" t="str">
        <v>G</v>
      </c>
      <c r="AR17" s="827" t="str">
        <v>Y</v>
      </c>
      <c r="AS17" s="827" t="str">
        <v>@</v>
      </c>
      <c r="AT17" s="827" t="str">
        <v>A</v>
      </c>
      <c r="AU17" s="827" t="str">
        <v>W</v>
      </c>
      <c r="AV17" s="827" t="str">
        <v>H</v>
      </c>
      <c r="AW17" s="828" t="str">
        <v>P</v>
      </c>
      <c r="AX17" s="828" t="str">
        <v>T</v>
      </c>
      <c r="AY17" s="828" t="str">
        <v>K</v>
      </c>
      <c r="AZ17" s="828" t="str">
        <v>V</v>
      </c>
      <c r="BA17" s="827">
        <v>1</v>
      </c>
      <c r="BB17" s="827">
        <v>7</v>
      </c>
      <c r="BC17" s="827">
        <v>6</v>
      </c>
      <c r="BD17" s="827">
        <v>5</v>
      </c>
      <c r="BE17" s="827">
        <v>3</v>
      </c>
      <c r="BF17" s="827">
        <v>2</v>
      </c>
      <c r="BG17" s="827">
        <v>8</v>
      </c>
      <c r="BH17" s="827">
        <v>0</v>
      </c>
      <c r="BI17" s="827">
        <v>9</v>
      </c>
      <c r="BJ17" s="827" t="str">
        <v>L</v>
      </c>
      <c r="BK17" s="827" t="str">
        <v>*</v>
      </c>
      <c r="BN17" s="262">
        <f t="shared" si="1"/>
        <v>13</v>
      </c>
      <c r="BO17" s="823" t="str" cm="1">
        <f t="array" ref="BO17" xml:space="preserve"> INDEX(_xlfn.ANCHORARRAY($D$17), 1, $BN17)</f>
        <v>Z</v>
      </c>
      <c r="BP17" s="820" t="str" cm="1">
        <f t="array" ref="BP17" xml:space="preserve"> INDEX(_xlfn.ANCHORARRAY($D$18), 1, $BN17)</f>
        <v>Y</v>
      </c>
      <c r="BQ17" s="732" t="str" cm="1">
        <f t="array" ref="BQ17" xml:space="preserve"> INDEX(_xlfn.ANCHORARRAY($D$19), 1, $BN17)</f>
        <v>ㆡ</v>
      </c>
      <c r="BR17" s="824" t="str" cm="1">
        <f t="array" ref="BR17" xml:space="preserve"> INDEX(_xlfn.ANCHORARRAY($D$20), 1, $BN17)</f>
        <v>zz</v>
      </c>
      <c r="BS17" s="825" t="str" cm="1">
        <f t="array" ref="BS17" xml:space="preserve"> INDEX(注音編碼對照表[聲韻調], MATCH(TRUE, EXACT($BP17, 注音編碼對照表[鍵盤按鍵]), 0))</f>
        <v>聲</v>
      </c>
      <c r="BT17" s="826">
        <f t="shared" si="2"/>
        <v>2</v>
      </c>
      <c r="BV17" s="549" t="str">
        <f t="shared" si="3"/>
        <v xml:space="preserve">    "Y": { commit: "ㆡ" }  # /zz/ ==&gt; Z</v>
      </c>
      <c r="BW17" s="263"/>
      <c r="BX17" s="262">
        <f t="shared" si="4"/>
        <v>13</v>
      </c>
      <c r="BY17" s="801" t="str">
        <v>Q</v>
      </c>
      <c r="BZ17" s="734" t="str">
        <v>I</v>
      </c>
      <c r="CA17" s="732" t="str">
        <v>ㆧ</v>
      </c>
      <c r="CB17" s="113" t="str">
        <v>no</v>
      </c>
      <c r="CC17" s="733" t="str">
        <v>韻</v>
      </c>
      <c r="CD17" s="735">
        <v>2</v>
      </c>
      <c r="CF17" s="698" t="str">
        <f t="shared" si="10"/>
        <v xml:space="preserve">    - xform/no/Q/  # 【I】 ==&gt; 韻： ㆧ [no]</v>
      </c>
      <c r="CG17" s="262">
        <f t="shared" si="5"/>
        <v>13</v>
      </c>
      <c r="CH17" s="801"/>
      <c r="CI17" s="734"/>
      <c r="CJ17" s="732"/>
      <c r="CK17" s="113"/>
      <c r="CL17" s="733"/>
      <c r="CM17" s="735"/>
      <c r="CO17" s="698" t="str">
        <f t="shared" si="6"/>
        <v/>
      </c>
      <c r="CP17" s="262">
        <f t="shared" si="7"/>
        <v>13</v>
      </c>
      <c r="CQ17" s="801" t="str">
        <v>t</v>
      </c>
      <c r="CR17" s="734" t="str">
        <v>w</v>
      </c>
      <c r="CS17" s="732" t="str">
        <v>ㄊ</v>
      </c>
      <c r="CT17" s="113" t="str">
        <v>t</v>
      </c>
      <c r="CU17" s="733" t="str">
        <v>聲</v>
      </c>
      <c r="CV17" s="735">
        <v>1</v>
      </c>
      <c r="CX17" s="847" t="str">
        <f t="shared" si="8"/>
        <v/>
      </c>
      <c r="CY17" s="262">
        <f t="shared" si="9"/>
        <v>13</v>
      </c>
      <c r="CZ17" s="801"/>
      <c r="DA17" s="734"/>
      <c r="DB17" s="732"/>
      <c r="DC17" s="113"/>
      <c r="DD17" s="733"/>
      <c r="DE17" s="735"/>
      <c r="DG17" s="698"/>
    </row>
    <row r="18" spans="1:111" s="193" customFormat="1" ht="45" customHeight="1">
      <c r="A18" s="281"/>
      <c r="B18" s="282" t="s">
        <v>8736</v>
      </c>
      <c r="C18" s="283"/>
      <c r="D18" s="829" t="str" cm="1">
        <f t="array" ref="D18:BK18" xml:space="preserve"> TRANSPOSE(注音編碼對照表[鍵盤按鍵])</f>
        <v>a</v>
      </c>
      <c r="E18" s="829" t="str">
        <v>!</v>
      </c>
      <c r="F18" s="829" t="str">
        <v>1</v>
      </c>
      <c r="G18" s="829" t="str">
        <v>q</v>
      </c>
      <c r="H18" s="829" t="str">
        <v>s</v>
      </c>
      <c r="I18" s="829" t="str">
        <v>2</v>
      </c>
      <c r="J18" s="829" t="str">
        <v>w</v>
      </c>
      <c r="K18" s="829" t="str">
        <v>x</v>
      </c>
      <c r="L18" s="829" t="str">
        <v>N</v>
      </c>
      <c r="M18" s="829" t="str">
        <v>E</v>
      </c>
      <c r="N18" s="829" t="str">
        <v>e</v>
      </c>
      <c r="O18" s="829" t="str">
        <v>d</v>
      </c>
      <c r="P18" s="829" t="str">
        <v>Y</v>
      </c>
      <c r="Q18" s="829" t="str">
        <v>y</v>
      </c>
      <c r="R18" s="829" t="str">
        <v>h</v>
      </c>
      <c r="S18" s="829" t="str">
        <v>n</v>
      </c>
      <c r="T18" s="829" t="str">
        <v>R</v>
      </c>
      <c r="U18" s="829" t="str">
        <v>r</v>
      </c>
      <c r="V18" s="829" t="str">
        <v>f</v>
      </c>
      <c r="W18" s="829" t="str">
        <v>v</v>
      </c>
      <c r="X18" s="829" t="str">
        <v>c</v>
      </c>
      <c r="Y18" s="829" t="str">
        <v>8</v>
      </c>
      <c r="Z18" s="829" t="str">
        <v>u</v>
      </c>
      <c r="AA18" s="829" t="str">
        <v>K</v>
      </c>
      <c r="AB18" s="829" t="str">
        <v>j</v>
      </c>
      <c r="AC18" s="829" t="str">
        <v>,</v>
      </c>
      <c r="AD18" s="829" t="str">
        <v>i</v>
      </c>
      <c r="AE18" s="829" t="str">
        <v>k</v>
      </c>
      <c r="AF18" s="829" t="str">
        <v>9</v>
      </c>
      <c r="AG18" s="829" t="str">
        <v>l</v>
      </c>
      <c r="AH18" s="829" t="str">
        <v>*</v>
      </c>
      <c r="AI18" s="829" t="str">
        <v>U</v>
      </c>
      <c r="AJ18" s="829" t="str">
        <v>J</v>
      </c>
      <c r="AK18" s="829" t="str">
        <v>&lt;</v>
      </c>
      <c r="AL18" s="829" t="str">
        <v>I</v>
      </c>
      <c r="AM18" s="829" t="str">
        <v>(</v>
      </c>
      <c r="AN18" s="829" t="str">
        <v>L</v>
      </c>
      <c r="AO18" s="829" t="str">
        <v>m</v>
      </c>
      <c r="AP18" s="829" t="str">
        <v>p</v>
      </c>
      <c r="AQ18" s="829" t="str">
        <v>/</v>
      </c>
      <c r="AR18" s="829" t="str">
        <v>M</v>
      </c>
      <c r="AS18" s="829" t="str">
        <v>0</v>
      </c>
      <c r="AT18" s="829" t="str">
        <v>;</v>
      </c>
      <c r="AU18" s="829" t="str">
        <v>O</v>
      </c>
      <c r="AV18" s="829" t="str">
        <v>o</v>
      </c>
      <c r="AW18" s="829" t="str">
        <v>b</v>
      </c>
      <c r="AX18" s="829" t="str">
        <v>t</v>
      </c>
      <c r="AY18" s="829" t="str">
        <v>g</v>
      </c>
      <c r="AZ18" s="829" t="str">
        <v>z</v>
      </c>
      <c r="BA18" s="829" t="str">
        <v>:</v>
      </c>
      <c r="BB18" s="829" t="str">
        <v>[</v>
      </c>
      <c r="BC18" s="829">
        <v>5</v>
      </c>
      <c r="BD18" s="829">
        <v>3</v>
      </c>
      <c r="BE18" s="829">
        <v>4</v>
      </c>
      <c r="BF18" s="829">
        <v>6</v>
      </c>
      <c r="BG18" s="829" t="str">
        <v>]</v>
      </c>
      <c r="BH18" s="829">
        <v>7</v>
      </c>
      <c r="BI18" s="829" t="str">
        <v>.</v>
      </c>
      <c r="BJ18" s="829" t="str">
        <v>?</v>
      </c>
      <c r="BK18" s="829" t="str">
        <v>-</v>
      </c>
      <c r="BN18" s="262">
        <f t="shared" si="1"/>
        <v>14</v>
      </c>
      <c r="BO18" s="823" t="str" cm="1">
        <f t="array" ref="BO18" xml:space="preserve"> INDEX(_xlfn.ANCHORARRAY($D$17), 1, $BN18)</f>
        <v>z</v>
      </c>
      <c r="BP18" s="820" t="str" cm="1">
        <f t="array" ref="BP18" xml:space="preserve"> INDEX(_xlfn.ANCHORARRAY($D$18), 1, $BN18)</f>
        <v>y</v>
      </c>
      <c r="BQ18" s="732" t="str" cm="1">
        <f t="array" ref="BQ18" xml:space="preserve"> INDEX(_xlfn.ANCHORARRAY($D$19), 1, $BN18)</f>
        <v>ㄗ</v>
      </c>
      <c r="BR18" s="824" t="str" cm="1">
        <f t="array" ref="BR18" xml:space="preserve"> INDEX(_xlfn.ANCHORARRAY($D$20), 1, $BN18)</f>
        <v>z</v>
      </c>
      <c r="BS18" s="825" t="str" cm="1">
        <f t="array" ref="BS18" xml:space="preserve"> INDEX(注音編碼對照表[聲韻調], MATCH(TRUE, EXACT($BP18, 注音編碼對照表[鍵盤按鍵]), 0))</f>
        <v>聲</v>
      </c>
      <c r="BT18" s="826">
        <f t="shared" si="2"/>
        <v>1</v>
      </c>
      <c r="BV18" s="549" t="str">
        <f t="shared" si="3"/>
        <v xml:space="preserve">    "y": { commit: "ㄗ" }  # /z/ ==&gt; z</v>
      </c>
      <c r="BW18" s="263"/>
      <c r="BX18" s="262">
        <f t="shared" si="4"/>
        <v>14</v>
      </c>
      <c r="BY18" s="801" t="str">
        <v>G</v>
      </c>
      <c r="BZ18" s="734" t="str">
        <v>/</v>
      </c>
      <c r="CA18" s="732" t="str">
        <v>ㆭ</v>
      </c>
      <c r="CB18" s="113" t="str">
        <v>ng</v>
      </c>
      <c r="CC18" s="733" t="str">
        <v>韻</v>
      </c>
      <c r="CD18" s="735">
        <v>2</v>
      </c>
      <c r="CF18" s="698" t="str">
        <f t="shared" si="10"/>
        <v xml:space="preserve">    - xform/ng/G/  # 【/】 ==&gt; 韻： ㆭ [ng]</v>
      </c>
      <c r="CG18" s="262">
        <f t="shared" si="5"/>
        <v>14</v>
      </c>
      <c r="CH18" s="801"/>
      <c r="CI18" s="734"/>
      <c r="CJ18" s="732"/>
      <c r="CK18" s="113"/>
      <c r="CL18" s="733"/>
      <c r="CM18" s="735"/>
      <c r="CO18" s="698" t="str">
        <f t="shared" si="6"/>
        <v/>
      </c>
      <c r="CP18" s="262">
        <f t="shared" si="7"/>
        <v>14</v>
      </c>
      <c r="CQ18" s="801" t="str">
        <v>l</v>
      </c>
      <c r="CR18" s="734" t="str">
        <v>x</v>
      </c>
      <c r="CS18" s="732" t="str">
        <v>ㄌ</v>
      </c>
      <c r="CT18" s="113" t="str">
        <v>l</v>
      </c>
      <c r="CU18" s="733" t="str">
        <v>聲</v>
      </c>
      <c r="CV18" s="735">
        <v>1</v>
      </c>
      <c r="CX18" s="847" t="str">
        <f t="shared" si="8"/>
        <v/>
      </c>
      <c r="CY18" s="262">
        <f t="shared" si="9"/>
        <v>14</v>
      </c>
      <c r="CZ18" s="801"/>
      <c r="DA18" s="734"/>
      <c r="DB18" s="732"/>
      <c r="DC18" s="113"/>
      <c r="DD18" s="733"/>
      <c r="DE18" s="735"/>
      <c r="DG18" s="698"/>
    </row>
    <row r="19" spans="1:111" s="193" customFormat="1" ht="45" customHeight="1">
      <c r="A19" s="281"/>
      <c r="B19" s="317" t="s">
        <v>386</v>
      </c>
      <c r="C19" s="318"/>
      <c r="D19" s="319" t="str" cm="1">
        <f t="array" ref="D19:BK19" xml:space="preserve"> TRANSPOSE(注音編碼對照表[方音符號])</f>
        <v>ㄇ</v>
      </c>
      <c r="E19" s="319" t="str">
        <v>ㆠ</v>
      </c>
      <c r="F19" s="319" t="str">
        <v>ㄅ</v>
      </c>
      <c r="G19" s="319" t="str">
        <v>ㄆ</v>
      </c>
      <c r="H19" s="319" t="str">
        <v>ㄋ</v>
      </c>
      <c r="I19" s="319" t="str">
        <v>ㄉ</v>
      </c>
      <c r="J19" s="319" t="str">
        <v>ㄊ</v>
      </c>
      <c r="K19" s="319" t="str">
        <v>ㄌ</v>
      </c>
      <c r="L19" s="319" t="str">
        <v>ㄫ</v>
      </c>
      <c r="M19" s="319" t="str">
        <v>ㆣ</v>
      </c>
      <c r="N19" s="319" t="str">
        <v>ㄍ</v>
      </c>
      <c r="O19" s="319" t="str">
        <v>ㄎ</v>
      </c>
      <c r="P19" s="319" t="str">
        <v>ㆡ</v>
      </c>
      <c r="Q19" s="319" t="str">
        <v>ㄗ</v>
      </c>
      <c r="R19" s="319" t="str">
        <v>ㄘ</v>
      </c>
      <c r="S19" s="319" t="str">
        <v>ㄙ</v>
      </c>
      <c r="T19" s="319" t="str">
        <v>ㆢ</v>
      </c>
      <c r="U19" s="319" t="str">
        <v>ㄐ</v>
      </c>
      <c r="V19" s="319" t="str">
        <v>ㄑ</v>
      </c>
      <c r="W19" s="319" t="str">
        <v>ㄒ</v>
      </c>
      <c r="X19" s="319" t="str">
        <v>ㄏ</v>
      </c>
      <c r="Y19" s="319" t="str">
        <v>ㄚ</v>
      </c>
      <c r="Z19" s="319" t="str">
        <v>ㄧ</v>
      </c>
      <c r="AA19" s="319" t="str">
        <v>ㆨ</v>
      </c>
      <c r="AB19" s="319" t="str">
        <v>ㄨ</v>
      </c>
      <c r="AC19" s="319" t="str">
        <v>ㆤ</v>
      </c>
      <c r="AD19" s="319" t="str">
        <v>ㆦ</v>
      </c>
      <c r="AE19" s="319" t="str">
        <v>ㄜ</v>
      </c>
      <c r="AF19" s="319" t="str">
        <v>ㄞ</v>
      </c>
      <c r="AG19" s="319" t="str">
        <v>ㄠ</v>
      </c>
      <c r="AH19" s="319" t="str">
        <v>ㆩ</v>
      </c>
      <c r="AI19" s="319" t="str">
        <v>ㆪ</v>
      </c>
      <c r="AJ19" s="319" t="str">
        <v>ㆫ</v>
      </c>
      <c r="AK19" s="319" t="str">
        <v>ㆥ</v>
      </c>
      <c r="AL19" s="319" t="str">
        <v>ㆧ</v>
      </c>
      <c r="AM19" s="319" t="str">
        <v>ㆮ</v>
      </c>
      <c r="AN19" s="319" t="str">
        <v>ㆯ</v>
      </c>
      <c r="AO19" s="319" t="str">
        <v>ㆬ</v>
      </c>
      <c r="AP19" s="319" t="str">
        <v>ㄣ</v>
      </c>
      <c r="AQ19" s="319" t="str">
        <v>ㆭ</v>
      </c>
      <c r="AR19" s="319" t="str">
        <v>ㆰ</v>
      </c>
      <c r="AS19" s="319" t="str">
        <v>ㄢ</v>
      </c>
      <c r="AT19" s="319" t="str">
        <v>ㄤ</v>
      </c>
      <c r="AU19" s="319" t="str">
        <v>ㆱ</v>
      </c>
      <c r="AV19" s="319" t="str">
        <v>ㆲ</v>
      </c>
      <c r="AW19" s="319" t="str">
        <v>ㆴ</v>
      </c>
      <c r="AX19" s="319" t="str">
        <v>ㆵ</v>
      </c>
      <c r="AY19" s="319" t="str">
        <v>ㆻ</v>
      </c>
      <c r="AZ19" s="319" t="str">
        <v>ㆷ</v>
      </c>
      <c r="BA19" s="319" t="str">
        <v>ˉ</v>
      </c>
      <c r="BB19" s="319" t="str">
        <v>ˉ</v>
      </c>
      <c r="BC19" s="319" t="str">
        <v>^</v>
      </c>
      <c r="BD19" s="319" t="str">
        <v>ˋ</v>
      </c>
      <c r="BE19" s="319" t="str">
        <v>ˇ</v>
      </c>
      <c r="BF19" s="319" t="str">
        <v>ˊ</v>
      </c>
      <c r="BG19" s="319" t="str">
        <v>ˊ</v>
      </c>
      <c r="BH19" s="319" t="str">
        <v>˙</v>
      </c>
      <c r="BI19" s="319" t="str">
        <v>入</v>
      </c>
      <c r="BJ19" s="319" t="str">
        <v>ㄥ</v>
      </c>
      <c r="BK19" s="319" t="str">
        <v>ñ</v>
      </c>
      <c r="BL19" s="145"/>
      <c r="BN19" s="262">
        <f t="shared" si="1"/>
        <v>15</v>
      </c>
      <c r="BO19" s="823" t="str" cm="1">
        <f t="array" ref="BO19" xml:space="preserve"> INDEX(_xlfn.ANCHORARRAY($D$17), 1, $BN19)</f>
        <v>c</v>
      </c>
      <c r="BP19" s="820" t="str" cm="1">
        <f t="array" ref="BP19" xml:space="preserve"> INDEX(_xlfn.ANCHORARRAY($D$18), 1, $BN19)</f>
        <v>h</v>
      </c>
      <c r="BQ19" s="732" t="str" cm="1">
        <f t="array" ref="BQ19" xml:space="preserve"> INDEX(_xlfn.ANCHORARRAY($D$19), 1, $BN19)</f>
        <v>ㄘ</v>
      </c>
      <c r="BR19" s="824" t="str" cm="1">
        <f t="array" ref="BR19" xml:space="preserve"> INDEX(_xlfn.ANCHORARRAY($D$20), 1, $BN19)</f>
        <v>c</v>
      </c>
      <c r="BS19" s="825" t="str" cm="1">
        <f t="array" ref="BS19" xml:space="preserve"> INDEX(注音編碼對照表[聲韻調], MATCH(TRUE, EXACT($BP19, 注音編碼對照表[鍵盤按鍵]), 0))</f>
        <v>聲</v>
      </c>
      <c r="BT19" s="826">
        <f t="shared" si="2"/>
        <v>1</v>
      </c>
      <c r="BV19" s="549" t="str">
        <f t="shared" si="3"/>
        <v xml:space="preserve">    "h": { commit: "ㄘ" }  # /c/ ==&gt; c</v>
      </c>
      <c r="BW19" s="263"/>
      <c r="BX19" s="262">
        <f t="shared" si="4"/>
        <v>15</v>
      </c>
      <c r="BY19" s="801" t="str">
        <v>Y</v>
      </c>
      <c r="BZ19" s="734" t="str">
        <v>M</v>
      </c>
      <c r="CA19" s="732" t="str">
        <v>ㆰ</v>
      </c>
      <c r="CB19" s="113" t="str">
        <v>am</v>
      </c>
      <c r="CC19" s="733" t="str">
        <v>韻</v>
      </c>
      <c r="CD19" s="735">
        <v>2</v>
      </c>
      <c r="CF19" s="698" t="str">
        <f t="shared" si="10"/>
        <v xml:space="preserve">    - xform/am/Y/  # 【M】 ==&gt; 韻： ㆰ [am]</v>
      </c>
      <c r="CG19" s="262">
        <f t="shared" si="5"/>
        <v>15</v>
      </c>
      <c r="CH19" s="801"/>
      <c r="CI19" s="734"/>
      <c r="CJ19" s="732"/>
      <c r="CK19" s="113"/>
      <c r="CL19" s="733"/>
      <c r="CM19" s="735"/>
      <c r="CO19" s="698" t="str">
        <f t="shared" si="6"/>
        <v/>
      </c>
      <c r="CP19" s="262">
        <f t="shared" si="7"/>
        <v>15</v>
      </c>
      <c r="CQ19" s="801" t="str">
        <v>g</v>
      </c>
      <c r="CR19" s="734" t="str">
        <v>e</v>
      </c>
      <c r="CS19" s="732" t="str">
        <v>ㄍ</v>
      </c>
      <c r="CT19" s="113" t="str">
        <v>g</v>
      </c>
      <c r="CU19" s="733" t="str">
        <v>聲</v>
      </c>
      <c r="CV19" s="735">
        <v>1</v>
      </c>
      <c r="CX19" s="847" t="str">
        <f t="shared" si="8"/>
        <v/>
      </c>
      <c r="CY19" s="262">
        <f t="shared" si="9"/>
        <v>15</v>
      </c>
      <c r="CZ19" s="801"/>
      <c r="DA19" s="734"/>
      <c r="DB19" s="732"/>
      <c r="DC19" s="113"/>
      <c r="DD19" s="733"/>
      <c r="DE19" s="735"/>
      <c r="DG19" s="698"/>
    </row>
    <row r="20" spans="1:111" ht="45" customHeight="1">
      <c r="A20" s="281"/>
      <c r="B20" s="720" t="s">
        <v>8797</v>
      </c>
      <c r="C20" s="288"/>
      <c r="D20" s="289" t="str" cm="1">
        <f t="array" ref="D20:BK20" xml:space="preserve"> TRANSPOSE(注音編碼對照表[閩拼方案])</f>
        <v>bbn</v>
      </c>
      <c r="E20" s="289" t="str">
        <v>bb</v>
      </c>
      <c r="F20" s="289" t="str">
        <v>b</v>
      </c>
      <c r="G20" s="289" t="str">
        <v>p</v>
      </c>
      <c r="H20" s="289" t="str">
        <v>ln</v>
      </c>
      <c r="I20" s="289" t="str">
        <v>d</v>
      </c>
      <c r="J20" s="289" t="str">
        <v>t</v>
      </c>
      <c r="K20" s="289" t="str">
        <v>l</v>
      </c>
      <c r="L20" s="289" t="str">
        <v>ggn</v>
      </c>
      <c r="M20" s="289" t="str">
        <v>gg</v>
      </c>
      <c r="N20" s="289" t="str">
        <v>g</v>
      </c>
      <c r="O20" s="289" t="str">
        <v>k</v>
      </c>
      <c r="P20" s="289" t="str">
        <v>zz</v>
      </c>
      <c r="Q20" s="289" t="str">
        <v>z</v>
      </c>
      <c r="R20" s="289" t="str">
        <v>c</v>
      </c>
      <c r="S20" s="289" t="str">
        <v>s</v>
      </c>
      <c r="T20" s="289" t="str">
        <v>jj</v>
      </c>
      <c r="U20" s="289" t="str">
        <v>j</v>
      </c>
      <c r="V20" s="289" t="str">
        <v>ch</v>
      </c>
      <c r="W20" s="289" t="str">
        <v>sh</v>
      </c>
      <c r="X20" s="289" t="str">
        <v>h</v>
      </c>
      <c r="Y20" s="289" t="str">
        <v>a</v>
      </c>
      <c r="Z20" s="289" t="str">
        <v>i</v>
      </c>
      <c r="AA20" s="289" t="str">
        <v>eu</v>
      </c>
      <c r="AB20" s="289" t="str">
        <v>u</v>
      </c>
      <c r="AC20" s="289" t="str">
        <v>e</v>
      </c>
      <c r="AD20" s="289" t="str">
        <v>oo</v>
      </c>
      <c r="AE20" s="289" t="str">
        <v>o</v>
      </c>
      <c r="AF20" s="289" t="str">
        <v>ai</v>
      </c>
      <c r="AG20" s="289" t="str">
        <v>au</v>
      </c>
      <c r="AH20" s="289" t="str">
        <v>na</v>
      </c>
      <c r="AI20" s="289" t="str">
        <v>ni</v>
      </c>
      <c r="AJ20" s="289" t="str">
        <v>nu</v>
      </c>
      <c r="AK20" s="289" t="str">
        <v>ne</v>
      </c>
      <c r="AL20" s="289" t="str">
        <v>no</v>
      </c>
      <c r="AM20" s="289" t="str">
        <v>nai</v>
      </c>
      <c r="AN20" s="289" t="str">
        <v>nau</v>
      </c>
      <c r="AO20" s="289" t="str">
        <v>m</v>
      </c>
      <c r="AP20" s="289" t="str">
        <v>n</v>
      </c>
      <c r="AQ20" s="289" t="str">
        <v>ng</v>
      </c>
      <c r="AR20" s="289" t="str">
        <v>am</v>
      </c>
      <c r="AS20" s="289" t="str">
        <v>an</v>
      </c>
      <c r="AT20" s="289" t="str">
        <v>ang</v>
      </c>
      <c r="AU20" s="289" t="str">
        <v>om</v>
      </c>
      <c r="AV20" s="289" t="str">
        <v>ong</v>
      </c>
      <c r="AW20" s="289" t="str">
        <v>p</v>
      </c>
      <c r="AX20" s="289" t="str">
        <v>t</v>
      </c>
      <c r="AY20" s="289" t="str">
        <v>k</v>
      </c>
      <c r="AZ20" s="289" t="str">
        <v>h</v>
      </c>
      <c r="BA20" s="289">
        <v>1</v>
      </c>
      <c r="BB20" s="289">
        <v>7</v>
      </c>
      <c r="BC20" s="289">
        <v>6</v>
      </c>
      <c r="BD20" s="289">
        <v>5</v>
      </c>
      <c r="BE20" s="289">
        <v>3</v>
      </c>
      <c r="BF20" s="289">
        <v>2</v>
      </c>
      <c r="BG20" s="289">
        <v>8</v>
      </c>
      <c r="BH20" s="289">
        <v>0</v>
      </c>
      <c r="BI20" s="289">
        <v>9</v>
      </c>
      <c r="BJ20" s="289" t="str">
        <v>nn</v>
      </c>
      <c r="BK20" s="289" t="str">
        <v>*nn</v>
      </c>
      <c r="BL20" s="195"/>
      <c r="BN20" s="262">
        <f t="shared" si="1"/>
        <v>16</v>
      </c>
      <c r="BO20" s="823" t="str" cm="1">
        <f t="array" ref="BO20" xml:space="preserve"> INDEX(_xlfn.ANCHORARRAY($D$17), 1, $BN20)</f>
        <v>s</v>
      </c>
      <c r="BP20" s="820" t="str" cm="1">
        <f t="array" ref="BP20" xml:space="preserve"> INDEX(_xlfn.ANCHORARRAY($D$18), 1, $BN20)</f>
        <v>n</v>
      </c>
      <c r="BQ20" s="732" t="str" cm="1">
        <f t="array" ref="BQ20" xml:space="preserve"> INDEX(_xlfn.ANCHORARRAY($D$19), 1, $BN20)</f>
        <v>ㄙ</v>
      </c>
      <c r="BR20" s="824" t="str" cm="1">
        <f t="array" ref="BR20" xml:space="preserve"> INDEX(_xlfn.ANCHORARRAY($D$20), 1, $BN20)</f>
        <v>s</v>
      </c>
      <c r="BS20" s="825" t="str" cm="1">
        <f t="array" ref="BS20" xml:space="preserve"> INDEX(注音編碼對照表[聲韻調], MATCH(TRUE, EXACT($BP20, 注音編碼對照表[鍵盤按鍵]), 0))</f>
        <v>聲</v>
      </c>
      <c r="BT20" s="826">
        <f t="shared" si="2"/>
        <v>1</v>
      </c>
      <c r="BU20" s="193"/>
      <c r="BV20" s="549" t="str">
        <f t="shared" si="3"/>
        <v xml:space="preserve">    "n": { commit: "ㄙ" }  # /s/ ==&gt; s</v>
      </c>
      <c r="BW20" s="263"/>
      <c r="BX20" s="262">
        <f t="shared" si="4"/>
        <v>16</v>
      </c>
      <c r="BY20" s="801" t="str">
        <v>@</v>
      </c>
      <c r="BZ20" s="734" t="str">
        <v>0</v>
      </c>
      <c r="CA20" s="732" t="str">
        <v>ㄢ</v>
      </c>
      <c r="CB20" s="113" t="str">
        <v>an</v>
      </c>
      <c r="CC20" s="733" t="str">
        <v>韻</v>
      </c>
      <c r="CD20" s="735">
        <v>2</v>
      </c>
      <c r="CF20" s="698" t="str">
        <f t="shared" si="10"/>
        <v xml:space="preserve">    - xform/an/@/  # 【0】 ==&gt; 韻： ㄢ [an]</v>
      </c>
      <c r="CG20" s="262">
        <f t="shared" si="5"/>
        <v>16</v>
      </c>
      <c r="CH20" s="801"/>
      <c r="CI20" s="734"/>
      <c r="CJ20" s="732"/>
      <c r="CK20" s="113"/>
      <c r="CL20" s="733"/>
      <c r="CM20" s="735"/>
      <c r="CO20" s="698" t="str">
        <f t="shared" si="6"/>
        <v/>
      </c>
      <c r="CP20" s="262">
        <f t="shared" si="7"/>
        <v>16</v>
      </c>
      <c r="CQ20" s="801" t="str">
        <v>k</v>
      </c>
      <c r="CR20" s="734" t="str">
        <v>d</v>
      </c>
      <c r="CS20" s="732" t="str">
        <v>ㄎ</v>
      </c>
      <c r="CT20" s="113" t="str">
        <v>k</v>
      </c>
      <c r="CU20" s="733" t="str">
        <v>聲</v>
      </c>
      <c r="CV20" s="735">
        <v>1</v>
      </c>
      <c r="CX20" s="847" t="str">
        <f t="shared" si="8"/>
        <v/>
      </c>
      <c r="CY20" s="262">
        <f t="shared" si="9"/>
        <v>16</v>
      </c>
      <c r="CZ20" s="801"/>
      <c r="DA20" s="734"/>
      <c r="DB20" s="732"/>
      <c r="DC20" s="113"/>
      <c r="DD20" s="733"/>
      <c r="DE20" s="735"/>
    </row>
    <row r="21" spans="1:111" s="195" customFormat="1" ht="45" customHeight="1">
      <c r="BM21" s="145"/>
      <c r="BN21" s="262">
        <f t="shared" si="1"/>
        <v>17</v>
      </c>
      <c r="BO21" s="823" t="str" cm="1">
        <f t="array" ref="BO21" xml:space="preserve"> INDEX(_xlfn.ANCHORARRAY($D$17), 1, $BN21)</f>
        <v>J</v>
      </c>
      <c r="BP21" s="820" t="str" cm="1">
        <f t="array" ref="BP21" xml:space="preserve"> INDEX(_xlfn.ANCHORARRAY($D$18), 1, $BN21)</f>
        <v>R</v>
      </c>
      <c r="BQ21" s="732" t="str" cm="1">
        <f t="array" ref="BQ21" xml:space="preserve"> INDEX(_xlfn.ANCHORARRAY($D$19), 1, $BN21)</f>
        <v>ㆢ</v>
      </c>
      <c r="BR21" s="824" t="str" cm="1">
        <f t="array" ref="BR21" xml:space="preserve"> INDEX(_xlfn.ANCHORARRAY($D$20), 1, $BN21)</f>
        <v>jj</v>
      </c>
      <c r="BS21" s="825" t="str" cm="1">
        <f t="array" ref="BS21" xml:space="preserve"> INDEX(注音編碼對照表[聲韻調], MATCH(TRUE, EXACT($BP21, 注音編碼對照表[鍵盤按鍵]), 0))</f>
        <v>聲</v>
      </c>
      <c r="BT21" s="826">
        <f t="shared" si="2"/>
        <v>2</v>
      </c>
      <c r="BU21" s="145"/>
      <c r="BV21" s="549" t="str">
        <f t="shared" si="3"/>
        <v xml:space="preserve">    "R": { commit: "ㆢ" }  # /jj/ ==&gt; J</v>
      </c>
      <c r="BW21" s="263"/>
      <c r="BX21" s="262">
        <f t="shared" si="4"/>
        <v>17</v>
      </c>
      <c r="BY21" s="801" t="str">
        <v>W</v>
      </c>
      <c r="BZ21" s="734" t="str">
        <v>O</v>
      </c>
      <c r="CA21" s="732" t="str">
        <v>ㆱ</v>
      </c>
      <c r="CB21" s="113" t="str">
        <v>om</v>
      </c>
      <c r="CC21" s="733" t="str">
        <v>韻</v>
      </c>
      <c r="CD21" s="735">
        <v>2</v>
      </c>
      <c r="CF21" s="698" t="str">
        <f t="shared" si="10"/>
        <v xml:space="preserve">    - xform/om/W/  # 【O】 ==&gt; 韻： ㆱ [om]</v>
      </c>
      <c r="CG21" s="262">
        <f t="shared" si="5"/>
        <v>17</v>
      </c>
      <c r="CH21" s="801"/>
      <c r="CI21" s="734"/>
      <c r="CJ21" s="732"/>
      <c r="CK21" s="113"/>
      <c r="CL21" s="733"/>
      <c r="CM21" s="735"/>
      <c r="CO21" s="698" t="str">
        <f t="shared" si="6"/>
        <v/>
      </c>
      <c r="CP21" s="262">
        <f t="shared" si="7"/>
        <v>17</v>
      </c>
      <c r="CQ21" s="801" t="str">
        <v>z</v>
      </c>
      <c r="CR21" s="734" t="str">
        <v>y</v>
      </c>
      <c r="CS21" s="732" t="str">
        <v>ㄗ</v>
      </c>
      <c r="CT21" s="113" t="str">
        <v>z</v>
      </c>
      <c r="CU21" s="733" t="str">
        <v>聲</v>
      </c>
      <c r="CV21" s="735">
        <v>1</v>
      </c>
      <c r="CX21" s="847" t="str">
        <f t="shared" si="8"/>
        <v/>
      </c>
      <c r="CY21" s="262">
        <f t="shared" si="9"/>
        <v>17</v>
      </c>
      <c r="CZ21" s="801"/>
      <c r="DA21" s="734"/>
      <c r="DB21" s="732"/>
      <c r="DC21" s="113"/>
      <c r="DD21" s="733"/>
      <c r="DE21" s="735"/>
      <c r="DG21" s="698"/>
    </row>
    <row r="22" spans="1:111" s="195" customFormat="1" ht="45" customHeight="1">
      <c r="B22" s="832" t="s">
        <v>351</v>
      </c>
      <c r="C22" s="832" t="s">
        <v>190</v>
      </c>
      <c r="D22" s="832" t="s">
        <v>305</v>
      </c>
      <c r="E22" s="832" t="s">
        <v>309</v>
      </c>
      <c r="F22" s="832" t="s">
        <v>329</v>
      </c>
      <c r="G22" s="832" t="s">
        <v>600</v>
      </c>
      <c r="H22" s="832" t="s">
        <v>184</v>
      </c>
      <c r="I22" s="832" t="s">
        <v>422</v>
      </c>
      <c r="J22" s="832" t="s">
        <v>279</v>
      </c>
      <c r="K22" s="832" t="s">
        <v>254</v>
      </c>
      <c r="L22" s="832" t="s">
        <v>37</v>
      </c>
      <c r="M22" s="832" t="s">
        <v>86</v>
      </c>
      <c r="N22" s="832" t="s">
        <v>143</v>
      </c>
      <c r="O22" s="832" t="s">
        <v>34</v>
      </c>
      <c r="P22" s="832" t="s">
        <v>65</v>
      </c>
      <c r="Q22" s="832" t="s">
        <v>217</v>
      </c>
      <c r="R22" s="832" t="s">
        <v>353</v>
      </c>
      <c r="S22" s="832" t="s">
        <v>283</v>
      </c>
      <c r="T22" s="832" t="s">
        <v>338</v>
      </c>
      <c r="U22" s="832" t="s">
        <v>30</v>
      </c>
      <c r="V22" s="832" t="s">
        <v>196</v>
      </c>
      <c r="W22" s="832" t="s">
        <v>601</v>
      </c>
      <c r="X22" s="832" t="s">
        <v>341</v>
      </c>
      <c r="Y22" s="832" t="s">
        <v>332</v>
      </c>
      <c r="Z22" s="832" t="s">
        <v>588</v>
      </c>
      <c r="AA22" s="832" t="s">
        <v>179</v>
      </c>
      <c r="AL22" s="832" t="s">
        <v>351</v>
      </c>
      <c r="AM22" s="832" t="s">
        <v>190</v>
      </c>
      <c r="AN22" s="832" t="s">
        <v>305</v>
      </c>
      <c r="AO22" s="832" t="s">
        <v>309</v>
      </c>
      <c r="AP22" s="832" t="s">
        <v>329</v>
      </c>
      <c r="AQ22" s="832" t="s">
        <v>600</v>
      </c>
      <c r="AR22" s="832" t="s">
        <v>184</v>
      </c>
      <c r="AS22" s="832" t="s">
        <v>422</v>
      </c>
      <c r="AT22" s="832" t="s">
        <v>279</v>
      </c>
      <c r="AU22" s="832" t="s">
        <v>254</v>
      </c>
      <c r="AV22" s="832" t="s">
        <v>37</v>
      </c>
      <c r="AW22" s="832" t="s">
        <v>86</v>
      </c>
      <c r="AX22" s="832" t="s">
        <v>143</v>
      </c>
      <c r="AY22" s="832" t="s">
        <v>34</v>
      </c>
      <c r="AZ22" s="832" t="s">
        <v>65</v>
      </c>
      <c r="BA22" s="832" t="s">
        <v>217</v>
      </c>
      <c r="BB22" s="832" t="s">
        <v>353</v>
      </c>
      <c r="BC22" s="832" t="s">
        <v>283</v>
      </c>
      <c r="BD22" s="832" t="s">
        <v>338</v>
      </c>
      <c r="BE22" s="832" t="s">
        <v>30</v>
      </c>
      <c r="BF22" s="832" t="s">
        <v>196</v>
      </c>
      <c r="BG22" s="832" t="s">
        <v>601</v>
      </c>
      <c r="BH22" s="832" t="s">
        <v>341</v>
      </c>
      <c r="BI22" s="832" t="s">
        <v>332</v>
      </c>
      <c r="BJ22" s="832" t="s">
        <v>588</v>
      </c>
      <c r="BK22" s="832" t="s">
        <v>179</v>
      </c>
      <c r="BM22" s="145"/>
      <c r="BN22" s="262">
        <f t="shared" si="1"/>
        <v>18</v>
      </c>
      <c r="BO22" s="823" t="str" cm="1">
        <f t="array" ref="BO22" xml:space="preserve"> INDEX(_xlfn.ANCHORARRAY($D$17), 1, $BN22)</f>
        <v>j</v>
      </c>
      <c r="BP22" s="820" t="str" cm="1">
        <f t="array" ref="BP22" xml:space="preserve"> INDEX(_xlfn.ANCHORARRAY($D$18), 1, $BN22)</f>
        <v>r</v>
      </c>
      <c r="BQ22" s="732" t="str" cm="1">
        <f t="array" ref="BQ22" xml:space="preserve"> INDEX(_xlfn.ANCHORARRAY($D$19), 1, $BN22)</f>
        <v>ㄐ</v>
      </c>
      <c r="BR22" s="824" t="str" cm="1">
        <f t="array" ref="BR22" xml:space="preserve"> INDEX(_xlfn.ANCHORARRAY($D$20), 1, $BN22)</f>
        <v>j</v>
      </c>
      <c r="BS22" s="825" t="str" cm="1">
        <f t="array" ref="BS22" xml:space="preserve"> INDEX(注音編碼對照表[聲韻調], MATCH(TRUE, EXACT($BP22, 注音編碼對照表[鍵盤按鍵]), 0))</f>
        <v>聲</v>
      </c>
      <c r="BT22" s="826">
        <f t="shared" si="2"/>
        <v>1</v>
      </c>
      <c r="BV22" s="549" t="str">
        <f t="shared" si="3"/>
        <v xml:space="preserve">    "r": { commit: "ㄐ" }  # /j/ ==&gt; j</v>
      </c>
      <c r="BW22" s="263"/>
      <c r="BX22" s="262">
        <f t="shared" si="4"/>
        <v>18</v>
      </c>
      <c r="BY22" s="801" t="str">
        <v>a</v>
      </c>
      <c r="BZ22" s="734" t="str">
        <v>8</v>
      </c>
      <c r="CA22" s="732" t="str">
        <v>ㄚ</v>
      </c>
      <c r="CB22" s="113" t="str">
        <v>a</v>
      </c>
      <c r="CC22" s="733" t="str">
        <v>韻</v>
      </c>
      <c r="CD22" s="735">
        <v>1</v>
      </c>
      <c r="CF22" s="698" t="str">
        <f t="shared" si="10"/>
        <v/>
      </c>
      <c r="CG22" s="262">
        <f t="shared" si="5"/>
        <v>18</v>
      </c>
      <c r="CH22" s="801"/>
      <c r="CI22" s="734"/>
      <c r="CJ22" s="732"/>
      <c r="CK22" s="113"/>
      <c r="CL22" s="733"/>
      <c r="CM22" s="735"/>
      <c r="CO22" s="698" t="str">
        <f t="shared" si="6"/>
        <v/>
      </c>
      <c r="CP22" s="262">
        <f t="shared" si="7"/>
        <v>18</v>
      </c>
      <c r="CQ22" s="801" t="str">
        <v>c</v>
      </c>
      <c r="CR22" s="734" t="str">
        <v>h</v>
      </c>
      <c r="CS22" s="732" t="str">
        <v>ㄘ</v>
      </c>
      <c r="CT22" s="113" t="str">
        <v>c</v>
      </c>
      <c r="CU22" s="733" t="str">
        <v>聲</v>
      </c>
      <c r="CV22" s="735">
        <v>1</v>
      </c>
      <c r="CX22" s="847" t="str">
        <f t="shared" si="8"/>
        <v/>
      </c>
      <c r="CY22" s="262">
        <f t="shared" si="9"/>
        <v>18</v>
      </c>
      <c r="CZ22" s="801"/>
      <c r="DA22" s="734"/>
      <c r="DB22" s="732"/>
      <c r="DC22" s="113"/>
      <c r="DD22" s="733"/>
      <c r="DE22" s="735"/>
      <c r="DG22" s="698"/>
    </row>
    <row r="23" spans="1:111" s="715" customFormat="1" ht="45" customHeight="1">
      <c r="A23" s="195"/>
      <c r="B23" s="809">
        <f xml:space="preserve"> IF( ISNUMBER( FIND(B22, _xlfn.CONCAT($D$17:$BK$17)) ),  FIND(B22, _xlfn.CONCAT($D$17:$BK$17)), "V")</f>
        <v>22</v>
      </c>
      <c r="C23" s="809">
        <f t="shared" ref="C23:AA23" si="11" xml:space="preserve"> IF( ISNUMBER( FIND(C22, _xlfn.CONCAT($D$17:$BK$17)) ),  FIND(C22, _xlfn.CONCAT($D$17:$BK$17)), "V")</f>
        <v>3</v>
      </c>
      <c r="D23" s="809">
        <f t="shared" si="11"/>
        <v>15</v>
      </c>
      <c r="E23" s="809">
        <f t="shared" si="11"/>
        <v>6</v>
      </c>
      <c r="F23" s="809">
        <f t="shared" si="11"/>
        <v>26</v>
      </c>
      <c r="G23" s="809" t="str">
        <f t="shared" si="11"/>
        <v>V</v>
      </c>
      <c r="H23" s="809">
        <f t="shared" si="11"/>
        <v>11</v>
      </c>
      <c r="I23" s="809">
        <f t="shared" si="11"/>
        <v>21</v>
      </c>
      <c r="J23" s="809">
        <f t="shared" si="11"/>
        <v>23</v>
      </c>
      <c r="K23" s="809">
        <f t="shared" si="11"/>
        <v>18</v>
      </c>
      <c r="L23" s="809">
        <f t="shared" si="11"/>
        <v>12</v>
      </c>
      <c r="M23" s="809">
        <f t="shared" si="11"/>
        <v>8</v>
      </c>
      <c r="N23" s="809">
        <f t="shared" si="11"/>
        <v>1</v>
      </c>
      <c r="O23" s="809">
        <f t="shared" si="11"/>
        <v>5</v>
      </c>
      <c r="P23" s="809">
        <f t="shared" si="11"/>
        <v>28</v>
      </c>
      <c r="Q23" s="809">
        <f t="shared" si="11"/>
        <v>4</v>
      </c>
      <c r="R23" s="809" t="str">
        <f t="shared" si="11"/>
        <v>V</v>
      </c>
      <c r="S23" s="809" t="str">
        <f t="shared" si="11"/>
        <v>V</v>
      </c>
      <c r="T23" s="809">
        <f t="shared" si="11"/>
        <v>16</v>
      </c>
      <c r="U23" s="809">
        <f t="shared" si="11"/>
        <v>7</v>
      </c>
      <c r="V23" s="809">
        <f t="shared" si="11"/>
        <v>25</v>
      </c>
      <c r="W23" s="809">
        <f t="shared" si="11"/>
        <v>10</v>
      </c>
      <c r="X23" s="809">
        <f t="shared" si="11"/>
        <v>24</v>
      </c>
      <c r="Y23" s="809">
        <f t="shared" si="11"/>
        <v>36</v>
      </c>
      <c r="Z23" s="809">
        <f t="shared" si="11"/>
        <v>37</v>
      </c>
      <c r="AA23" s="809">
        <f t="shared" si="11"/>
        <v>14</v>
      </c>
      <c r="AB23" s="195"/>
      <c r="AC23" s="195"/>
      <c r="AE23" s="195"/>
      <c r="AL23" s="809">
        <f xml:space="preserve"> IF( ISNUMBER( FIND(AL22, _xlfn.CONCAT($D$17:$BK$17)) ),  FIND(AL22, _xlfn.CONCAT($D$17:$BK$17)), "V")</f>
        <v>22</v>
      </c>
      <c r="AM23" s="809">
        <f t="shared" ref="AM23" si="12" xml:space="preserve"> IF( ISNUMBER( FIND(AM22, _xlfn.CONCAT($D$17:$BK$17)) ),  FIND(AM22, _xlfn.CONCAT($D$17:$BK$17)), "V")</f>
        <v>3</v>
      </c>
      <c r="AN23" s="809">
        <f t="shared" ref="AN23" si="13" xml:space="preserve"> IF( ISNUMBER( FIND(AN22, _xlfn.CONCAT($D$17:$BK$17)) ),  FIND(AN22, _xlfn.CONCAT($D$17:$BK$17)), "V")</f>
        <v>15</v>
      </c>
      <c r="AO23" s="809">
        <f t="shared" ref="AO23" si="14" xml:space="preserve"> IF( ISNUMBER( FIND(AO22, _xlfn.CONCAT($D$17:$BK$17)) ),  FIND(AO22, _xlfn.CONCAT($D$17:$BK$17)), "V")</f>
        <v>6</v>
      </c>
      <c r="AP23" s="809">
        <f t="shared" ref="AP23" si="15" xml:space="preserve"> IF( ISNUMBER( FIND(AP22, _xlfn.CONCAT($D$17:$BK$17)) ),  FIND(AP22, _xlfn.CONCAT($D$17:$BK$17)), "V")</f>
        <v>26</v>
      </c>
      <c r="AQ23" s="809" t="str">
        <f t="shared" ref="AQ23" si="16" xml:space="preserve"> IF( ISNUMBER( FIND(AQ22, _xlfn.CONCAT($D$17:$BK$17)) ),  FIND(AQ22, _xlfn.CONCAT($D$17:$BK$17)), "V")</f>
        <v>V</v>
      </c>
      <c r="AR23" s="809">
        <f t="shared" ref="AR23" si="17" xml:space="preserve"> IF( ISNUMBER( FIND(AR22, _xlfn.CONCAT($D$17:$BK$17)) ),  FIND(AR22, _xlfn.CONCAT($D$17:$BK$17)), "V")</f>
        <v>11</v>
      </c>
      <c r="AS23" s="809">
        <f t="shared" ref="AS23" si="18" xml:space="preserve"> IF( ISNUMBER( FIND(AS22, _xlfn.CONCAT($D$17:$BK$17)) ),  FIND(AS22, _xlfn.CONCAT($D$17:$BK$17)), "V")</f>
        <v>21</v>
      </c>
      <c r="AT23" s="809">
        <f t="shared" ref="AT23" si="19" xml:space="preserve"> IF( ISNUMBER( FIND(AT22, _xlfn.CONCAT($D$17:$BK$17)) ),  FIND(AT22, _xlfn.CONCAT($D$17:$BK$17)), "V")</f>
        <v>23</v>
      </c>
      <c r="AU23" s="809">
        <f t="shared" ref="AU23" si="20" xml:space="preserve"> IF( ISNUMBER( FIND(AU22, _xlfn.CONCAT($D$17:$BK$17)) ),  FIND(AU22, _xlfn.CONCAT($D$17:$BK$17)), "V")</f>
        <v>18</v>
      </c>
      <c r="AV23" s="809">
        <f t="shared" ref="AV23" si="21" xml:space="preserve"> IF( ISNUMBER( FIND(AV22, _xlfn.CONCAT($D$17:$BK$17)) ),  FIND(AV22, _xlfn.CONCAT($D$17:$BK$17)), "V")</f>
        <v>12</v>
      </c>
      <c r="AW23" s="809">
        <f t="shared" ref="AW23" si="22" xml:space="preserve"> IF( ISNUMBER( FIND(AW22, _xlfn.CONCAT($D$17:$BK$17)) ),  FIND(AW22, _xlfn.CONCAT($D$17:$BK$17)), "V")</f>
        <v>8</v>
      </c>
      <c r="AX23" s="809">
        <f t="shared" ref="AX23" si="23" xml:space="preserve"> IF( ISNUMBER( FIND(AX22, _xlfn.CONCAT($D$17:$BK$17)) ),  FIND(AX22, _xlfn.CONCAT($D$17:$BK$17)), "V")</f>
        <v>1</v>
      </c>
      <c r="AY23" s="809">
        <f t="shared" ref="AY23" si="24" xml:space="preserve"> IF( ISNUMBER( FIND(AY22, _xlfn.CONCAT($D$17:$BK$17)) ),  FIND(AY22, _xlfn.CONCAT($D$17:$BK$17)), "V")</f>
        <v>5</v>
      </c>
      <c r="AZ23" s="809">
        <f t="shared" ref="AZ23" si="25" xml:space="preserve"> IF( ISNUMBER( FIND(AZ22, _xlfn.CONCAT($D$17:$BK$17)) ),  FIND(AZ22, _xlfn.CONCAT($D$17:$BK$17)), "V")</f>
        <v>28</v>
      </c>
      <c r="BA23" s="809">
        <f t="shared" ref="BA23" si="26" xml:space="preserve"> IF( ISNUMBER( FIND(BA22, _xlfn.CONCAT($D$17:$BK$17)) ),  FIND(BA22, _xlfn.CONCAT($D$17:$BK$17)), "V")</f>
        <v>4</v>
      </c>
      <c r="BB23" s="809" t="str">
        <f t="shared" ref="BB23" si="27" xml:space="preserve"> IF( ISNUMBER( FIND(BB22, _xlfn.CONCAT($D$17:$BK$17)) ),  FIND(BB22, _xlfn.CONCAT($D$17:$BK$17)), "V")</f>
        <v>V</v>
      </c>
      <c r="BC23" s="809" t="str">
        <f t="shared" ref="BC23" si="28" xml:space="preserve"> IF( ISNUMBER( FIND(BC22, _xlfn.CONCAT($D$17:$BK$17)) ),  FIND(BC22, _xlfn.CONCAT($D$17:$BK$17)), "V")</f>
        <v>V</v>
      </c>
      <c r="BD23" s="809">
        <f t="shared" ref="BD23" si="29" xml:space="preserve"> IF( ISNUMBER( FIND(BD22, _xlfn.CONCAT($D$17:$BK$17)) ),  FIND(BD22, _xlfn.CONCAT($D$17:$BK$17)), "V")</f>
        <v>16</v>
      </c>
      <c r="BE23" s="809">
        <f t="shared" ref="BE23" si="30" xml:space="preserve"> IF( ISNUMBER( FIND(BE22, _xlfn.CONCAT($D$17:$BK$17)) ),  FIND(BE22, _xlfn.CONCAT($D$17:$BK$17)), "V")</f>
        <v>7</v>
      </c>
      <c r="BF23" s="809">
        <f t="shared" ref="BF23" si="31" xml:space="preserve"> IF( ISNUMBER( FIND(BF22, _xlfn.CONCAT($D$17:$BK$17)) ),  FIND(BF22, _xlfn.CONCAT($D$17:$BK$17)), "V")</f>
        <v>25</v>
      </c>
      <c r="BG23" s="809">
        <f t="shared" ref="BG23" si="32" xml:space="preserve"> IF( ISNUMBER( FIND(BG22, _xlfn.CONCAT($D$17:$BK$17)) ),  FIND(BG22, _xlfn.CONCAT($D$17:$BK$17)), "V")</f>
        <v>10</v>
      </c>
      <c r="BH23" s="809">
        <f t="shared" ref="BH23" si="33" xml:space="preserve"> IF( ISNUMBER( FIND(BH22, _xlfn.CONCAT($D$17:$BK$17)) ),  FIND(BH22, _xlfn.CONCAT($D$17:$BK$17)), "V")</f>
        <v>24</v>
      </c>
      <c r="BI23" s="809">
        <f t="shared" ref="BI23" si="34" xml:space="preserve"> IF( ISNUMBER( FIND(BI22, _xlfn.CONCAT($D$17:$BK$17)) ),  FIND(BI22, _xlfn.CONCAT($D$17:$BK$17)), "V")</f>
        <v>36</v>
      </c>
      <c r="BJ23" s="809">
        <f t="shared" ref="BJ23" si="35" xml:space="preserve"> IF( ISNUMBER( FIND(BJ22, _xlfn.CONCAT($D$17:$BK$17)) ),  FIND(BJ22, _xlfn.CONCAT($D$17:$BK$17)), "V")</f>
        <v>37</v>
      </c>
      <c r="BK23" s="809">
        <f t="shared" ref="BK23" si="36" xml:space="preserve"> IF( ISNUMBER( FIND(BK22, _xlfn.CONCAT($D$17:$BK$17)) ),  FIND(BK22, _xlfn.CONCAT($D$17:$BK$17)), "V")</f>
        <v>14</v>
      </c>
      <c r="BL23" s="195"/>
      <c r="BM23" s="145"/>
      <c r="BN23" s="262">
        <f t="shared" si="1"/>
        <v>19</v>
      </c>
      <c r="BO23" s="823" t="str" cm="1">
        <f t="array" ref="BO23" xml:space="preserve"> INDEX(_xlfn.ANCHORARRAY($D$17), 1, $BN23)</f>
        <v>C</v>
      </c>
      <c r="BP23" s="820" t="str" cm="1">
        <f t="array" ref="BP23" xml:space="preserve"> INDEX(_xlfn.ANCHORARRAY($D$18), 1, $BN23)</f>
        <v>f</v>
      </c>
      <c r="BQ23" s="732" t="str" cm="1">
        <f t="array" ref="BQ23" xml:space="preserve"> INDEX(_xlfn.ANCHORARRAY($D$19), 1, $BN23)</f>
        <v>ㄑ</v>
      </c>
      <c r="BR23" s="824" t="str" cm="1">
        <f t="array" ref="BR23" xml:space="preserve"> INDEX(_xlfn.ANCHORARRAY($D$20), 1, $BN23)</f>
        <v>ch</v>
      </c>
      <c r="BS23" s="825" t="str" cm="1">
        <f t="array" ref="BS23" xml:space="preserve"> INDEX(注音編碼對照表[聲韻調], MATCH(TRUE, EXACT($BP23, 注音編碼對照表[鍵盤按鍵]), 0))</f>
        <v>聲</v>
      </c>
      <c r="BT23" s="826">
        <f t="shared" si="2"/>
        <v>2</v>
      </c>
      <c r="BU23" s="195"/>
      <c r="BV23" s="549" t="str">
        <f t="shared" si="3"/>
        <v xml:space="preserve">    "f": { commit: "ㄑ" }  # /ch/ ==&gt; C</v>
      </c>
      <c r="BW23" s="263"/>
      <c r="BX23" s="262">
        <f t="shared" si="4"/>
        <v>19</v>
      </c>
      <c r="BY23" s="801" t="str">
        <v>i</v>
      </c>
      <c r="BZ23" s="734" t="str">
        <v>u</v>
      </c>
      <c r="CA23" s="732" t="str">
        <v>ㄧ</v>
      </c>
      <c r="CB23" s="113" t="str">
        <v>i</v>
      </c>
      <c r="CC23" s="733" t="str">
        <v>韻</v>
      </c>
      <c r="CD23" s="735">
        <v>1</v>
      </c>
      <c r="CF23" s="698" t="str">
        <f t="shared" si="10"/>
        <v/>
      </c>
      <c r="CG23" s="262">
        <f t="shared" si="5"/>
        <v>19</v>
      </c>
      <c r="CH23" s="801"/>
      <c r="CI23" s="734"/>
      <c r="CJ23" s="732"/>
      <c r="CK23" s="113"/>
      <c r="CL23" s="733"/>
      <c r="CM23" s="735"/>
      <c r="CO23" s="698" t="str">
        <f t="shared" si="6"/>
        <v/>
      </c>
      <c r="CP23" s="262">
        <f t="shared" si="7"/>
        <v>19</v>
      </c>
      <c r="CQ23" s="801" t="str">
        <v>s</v>
      </c>
      <c r="CR23" s="734" t="str">
        <v>n</v>
      </c>
      <c r="CS23" s="732" t="str">
        <v>ㄙ</v>
      </c>
      <c r="CT23" s="113" t="str">
        <v>s</v>
      </c>
      <c r="CU23" s="733" t="str">
        <v>聲</v>
      </c>
      <c r="CV23" s="735">
        <v>1</v>
      </c>
      <c r="CX23" s="847" t="str">
        <f t="shared" si="8"/>
        <v/>
      </c>
      <c r="CY23" s="262">
        <f t="shared" si="9"/>
        <v>19</v>
      </c>
      <c r="CZ23" s="801"/>
      <c r="DA23" s="734"/>
      <c r="DB23" s="732"/>
      <c r="DC23" s="113"/>
      <c r="DD23" s="733"/>
      <c r="DE23" s="735"/>
      <c r="DG23" s="698"/>
    </row>
    <row r="24" spans="1:111" s="195" customFormat="1" ht="45" customHeight="1">
      <c r="A24" s="249"/>
      <c r="B24" s="833" t="str">
        <f xml:space="preserve"> IF( ISNUMBER( FIND(B22, _xlfn.CONCAT($D$17:$BK$17)) ), "X", B22)</f>
        <v>X</v>
      </c>
      <c r="C24" s="833" t="str">
        <f t="shared" ref="C24:AA24" si="37" xml:space="preserve"> IF( ISNUMBER( FIND(C22, _xlfn.CONCAT($D$17:$BK$17)) ), "X", C22)</f>
        <v>X</v>
      </c>
      <c r="D24" s="833" t="str">
        <f t="shared" si="37"/>
        <v>X</v>
      </c>
      <c r="E24" s="833" t="str">
        <f t="shared" si="37"/>
        <v>X</v>
      </c>
      <c r="F24" s="833" t="str">
        <f t="shared" si="37"/>
        <v>X</v>
      </c>
      <c r="G24" s="834" t="str">
        <f t="shared" si="37"/>
        <v>f</v>
      </c>
      <c r="H24" s="833" t="str">
        <f t="shared" si="37"/>
        <v>X</v>
      </c>
      <c r="I24" s="833" t="str">
        <f t="shared" si="37"/>
        <v>X</v>
      </c>
      <c r="J24" s="833" t="str">
        <f t="shared" si="37"/>
        <v>X</v>
      </c>
      <c r="K24" s="833" t="str">
        <f t="shared" si="37"/>
        <v>X</v>
      </c>
      <c r="L24" s="833" t="str">
        <f t="shared" si="37"/>
        <v>X</v>
      </c>
      <c r="M24" s="833" t="str">
        <f t="shared" si="37"/>
        <v>X</v>
      </c>
      <c r="N24" s="833" t="str">
        <f t="shared" si="37"/>
        <v>X</v>
      </c>
      <c r="O24" s="833" t="str">
        <f t="shared" si="37"/>
        <v>X</v>
      </c>
      <c r="P24" s="833" t="str">
        <f t="shared" si="37"/>
        <v>X</v>
      </c>
      <c r="Q24" s="833" t="str">
        <f t="shared" si="37"/>
        <v>X</v>
      </c>
      <c r="R24" s="834" t="str">
        <f t="shared" si="37"/>
        <v>q</v>
      </c>
      <c r="S24" s="834" t="str">
        <f t="shared" si="37"/>
        <v>r</v>
      </c>
      <c r="T24" s="833" t="str">
        <f t="shared" si="37"/>
        <v>X</v>
      </c>
      <c r="U24" s="833" t="str">
        <f t="shared" si="37"/>
        <v>X</v>
      </c>
      <c r="V24" s="833" t="str">
        <f t="shared" si="37"/>
        <v>X</v>
      </c>
      <c r="W24" s="833" t="str">
        <f t="shared" si="37"/>
        <v>X</v>
      </c>
      <c r="X24" s="833" t="str">
        <f t="shared" si="37"/>
        <v>X</v>
      </c>
      <c r="Y24" s="833" t="str">
        <f t="shared" si="37"/>
        <v>X</v>
      </c>
      <c r="Z24" s="833" t="str">
        <f t="shared" si="37"/>
        <v>X</v>
      </c>
      <c r="AA24" s="833" t="str">
        <f t="shared" si="37"/>
        <v>X</v>
      </c>
      <c r="AB24" s="835"/>
      <c r="AC24" s="835"/>
      <c r="AD24" s="836"/>
      <c r="AE24" s="835"/>
      <c r="AF24" s="836"/>
      <c r="AG24" s="836"/>
      <c r="AH24" s="836"/>
      <c r="AI24" s="836"/>
      <c r="AJ24" s="836"/>
      <c r="AK24" s="836"/>
      <c r="AL24" s="833" t="str">
        <f xml:space="preserve"> IF( ISNUMBER( FIND(AL22, _xlfn.CONCAT($D$17:$BK$17)) ), "X", AL22)</f>
        <v>X</v>
      </c>
      <c r="AM24" s="833" t="str">
        <f t="shared" ref="AM24:BK24" si="38" xml:space="preserve"> IF( ISNUMBER( FIND(AM22, _xlfn.CONCAT($D$17:$BK$17)) ), "X", AM22)</f>
        <v>X</v>
      </c>
      <c r="AN24" s="833" t="str">
        <f t="shared" si="38"/>
        <v>X</v>
      </c>
      <c r="AO24" s="833" t="str">
        <f t="shared" si="38"/>
        <v>X</v>
      </c>
      <c r="AP24" s="833" t="str">
        <f t="shared" si="38"/>
        <v>X</v>
      </c>
      <c r="AQ24" s="834" t="str">
        <f t="shared" si="38"/>
        <v>f</v>
      </c>
      <c r="AR24" s="833" t="str">
        <f t="shared" si="38"/>
        <v>X</v>
      </c>
      <c r="AS24" s="833" t="str">
        <f t="shared" si="38"/>
        <v>X</v>
      </c>
      <c r="AT24" s="833" t="str">
        <f t="shared" si="38"/>
        <v>X</v>
      </c>
      <c r="AU24" s="833" t="str">
        <f t="shared" si="38"/>
        <v>X</v>
      </c>
      <c r="AV24" s="833" t="str">
        <f t="shared" si="38"/>
        <v>X</v>
      </c>
      <c r="AW24" s="833" t="str">
        <f t="shared" si="38"/>
        <v>X</v>
      </c>
      <c r="AX24" s="833" t="str">
        <f t="shared" si="38"/>
        <v>X</v>
      </c>
      <c r="AY24" s="833" t="str">
        <f t="shared" si="38"/>
        <v>X</v>
      </c>
      <c r="AZ24" s="833" t="str">
        <f t="shared" si="38"/>
        <v>X</v>
      </c>
      <c r="BA24" s="833" t="str">
        <f t="shared" si="38"/>
        <v>X</v>
      </c>
      <c r="BB24" s="833" t="str">
        <f t="shared" si="38"/>
        <v>q</v>
      </c>
      <c r="BC24" s="833" t="str">
        <f t="shared" si="38"/>
        <v>r</v>
      </c>
      <c r="BD24" s="833" t="str">
        <f t="shared" si="38"/>
        <v>X</v>
      </c>
      <c r="BE24" s="833" t="str">
        <f t="shared" si="38"/>
        <v>X</v>
      </c>
      <c r="BF24" s="833" t="str">
        <f t="shared" si="38"/>
        <v>X</v>
      </c>
      <c r="BG24" s="833" t="str">
        <f t="shared" si="38"/>
        <v>X</v>
      </c>
      <c r="BH24" s="833" t="str">
        <f t="shared" si="38"/>
        <v>X</v>
      </c>
      <c r="BI24" s="833" t="str">
        <f t="shared" si="38"/>
        <v>X</v>
      </c>
      <c r="BJ24" s="833" t="str">
        <f t="shared" si="38"/>
        <v>X</v>
      </c>
      <c r="BK24" s="833" t="str">
        <f t="shared" si="38"/>
        <v>X</v>
      </c>
      <c r="BM24" s="145"/>
      <c r="BN24" s="262">
        <f t="shared" si="1"/>
        <v>20</v>
      </c>
      <c r="BO24" s="823" t="str" cm="1">
        <f t="array" ref="BO24" xml:space="preserve"> INDEX(_xlfn.ANCHORARRAY($D$17), 1, $BN24)</f>
        <v>S</v>
      </c>
      <c r="BP24" s="820" t="str" cm="1">
        <f t="array" ref="BP24" xml:space="preserve"> INDEX(_xlfn.ANCHORARRAY($D$18), 1, $BN24)</f>
        <v>v</v>
      </c>
      <c r="BQ24" s="732" t="str" cm="1">
        <f t="array" ref="BQ24" xml:space="preserve"> INDEX(_xlfn.ANCHORARRAY($D$19), 1, $BN24)</f>
        <v>ㄒ</v>
      </c>
      <c r="BR24" s="824" t="str" cm="1">
        <f t="array" ref="BR24" xml:space="preserve"> INDEX(_xlfn.ANCHORARRAY($D$20), 1, $BN24)</f>
        <v>sh</v>
      </c>
      <c r="BS24" s="825" t="str" cm="1">
        <f t="array" ref="BS24" xml:space="preserve"> INDEX(注音編碼對照表[聲韻調], MATCH(TRUE, EXACT($BP24, 注音編碼對照表[鍵盤按鍵]), 0))</f>
        <v>聲</v>
      </c>
      <c r="BT24" s="826">
        <f t="shared" si="2"/>
        <v>2</v>
      </c>
      <c r="BU24" s="715"/>
      <c r="BV24" s="549" t="str">
        <f t="shared" si="3"/>
        <v xml:space="preserve">    "v": { commit: "ㄒ" }  # /sh/ ==&gt; S</v>
      </c>
      <c r="BW24" s="717"/>
      <c r="BX24" s="262">
        <f t="shared" si="4"/>
        <v>20</v>
      </c>
      <c r="BY24" s="801" t="str">
        <v>u</v>
      </c>
      <c r="BZ24" s="734" t="str">
        <v>j</v>
      </c>
      <c r="CA24" s="732" t="str">
        <v>ㄨ</v>
      </c>
      <c r="CB24" s="113" t="str">
        <v>u</v>
      </c>
      <c r="CC24" s="733" t="str">
        <v>韻</v>
      </c>
      <c r="CD24" s="735">
        <v>1</v>
      </c>
      <c r="CF24" s="698" t="str">
        <f t="shared" si="10"/>
        <v/>
      </c>
      <c r="CG24" s="262">
        <f t="shared" si="5"/>
        <v>20</v>
      </c>
      <c r="CH24" s="801"/>
      <c r="CI24" s="734"/>
      <c r="CJ24" s="732"/>
      <c r="CK24" s="113"/>
      <c r="CL24" s="733"/>
      <c r="CM24" s="735"/>
      <c r="CO24" s="698" t="str">
        <f t="shared" si="6"/>
        <v/>
      </c>
      <c r="CP24" s="262">
        <f t="shared" si="7"/>
        <v>20</v>
      </c>
      <c r="CQ24" s="801" t="str">
        <v>j</v>
      </c>
      <c r="CR24" s="734" t="str">
        <v>r</v>
      </c>
      <c r="CS24" s="732" t="str">
        <v>ㄐ</v>
      </c>
      <c r="CT24" s="113" t="str">
        <v>j</v>
      </c>
      <c r="CU24" s="733" t="str">
        <v>聲</v>
      </c>
      <c r="CV24" s="735">
        <v>1</v>
      </c>
      <c r="CX24" s="847" t="str">
        <f t="shared" si="8"/>
        <v/>
      </c>
      <c r="CY24" s="262">
        <f t="shared" si="9"/>
        <v>20</v>
      </c>
      <c r="CZ24" s="801"/>
      <c r="DA24" s="734"/>
      <c r="DB24" s="732"/>
      <c r="DC24" s="113"/>
      <c r="DD24" s="733"/>
      <c r="DE24" s="735"/>
      <c r="DG24" s="698"/>
    </row>
    <row r="25" spans="1:111" s="195" customFormat="1" ht="45" customHeight="1">
      <c r="AD25" s="810"/>
      <c r="AF25" s="810"/>
      <c r="AG25" s="810"/>
      <c r="AH25" s="810"/>
      <c r="AI25" s="810"/>
      <c r="AJ25" s="810"/>
      <c r="AK25" s="810"/>
      <c r="AL25" s="810"/>
      <c r="AM25" s="810"/>
      <c r="AN25" s="810"/>
      <c r="AO25" s="810"/>
      <c r="AP25" s="810"/>
      <c r="AQ25" s="810"/>
      <c r="AR25" s="810"/>
      <c r="AS25" s="810"/>
      <c r="AT25" s="810"/>
      <c r="AU25" s="810"/>
      <c r="AV25" s="810"/>
      <c r="AW25" s="810"/>
      <c r="AX25" s="810"/>
      <c r="AY25" s="810"/>
      <c r="AZ25" s="810"/>
      <c r="BA25" s="810"/>
      <c r="BB25" s="810"/>
      <c r="BC25" s="810"/>
      <c r="BM25" s="145"/>
      <c r="BN25" s="262">
        <f t="shared" si="1"/>
        <v>21</v>
      </c>
      <c r="BO25" s="823" t="str" cm="1">
        <f t="array" ref="BO25" xml:space="preserve"> INDEX(_xlfn.ANCHORARRAY($D$17), 1, $BN25)</f>
        <v>h</v>
      </c>
      <c r="BP25" s="820" t="str" cm="1">
        <f t="array" ref="BP25" xml:space="preserve"> INDEX(_xlfn.ANCHORARRAY($D$18), 1, $BN25)</f>
        <v>c</v>
      </c>
      <c r="BQ25" s="732" t="str" cm="1">
        <f t="array" ref="BQ25" xml:space="preserve"> INDEX(_xlfn.ANCHORARRAY($D$19), 1, $BN25)</f>
        <v>ㄏ</v>
      </c>
      <c r="BR25" s="824" t="str" cm="1">
        <f t="array" ref="BR25" xml:space="preserve"> INDEX(_xlfn.ANCHORARRAY($D$20), 1, $BN25)</f>
        <v>h</v>
      </c>
      <c r="BS25" s="825" t="str" cm="1">
        <f t="array" ref="BS25" xml:space="preserve"> INDEX(注音編碼對照表[聲韻調], MATCH(TRUE, EXACT($BP25, 注音編碼對照表[鍵盤按鍵]), 0))</f>
        <v>聲</v>
      </c>
      <c r="BT25" s="826">
        <f t="shared" si="2"/>
        <v>1</v>
      </c>
      <c r="BV25" s="549" t="str">
        <f t="shared" si="3"/>
        <v xml:space="preserve">    "c": { commit: "ㄏ" }  # /h/ ==&gt; h</v>
      </c>
      <c r="BW25" s="263"/>
      <c r="BX25" s="262">
        <f t="shared" si="4"/>
        <v>21</v>
      </c>
      <c r="BY25" s="801" t="str">
        <v>e</v>
      </c>
      <c r="BZ25" s="734" t="str">
        <v>,</v>
      </c>
      <c r="CA25" s="732" t="str">
        <v>ㆤ</v>
      </c>
      <c r="CB25" s="113" t="str">
        <v>e</v>
      </c>
      <c r="CC25" s="733" t="str">
        <v>韻</v>
      </c>
      <c r="CD25" s="735">
        <v>1</v>
      </c>
      <c r="CF25" s="698" t="str">
        <f t="shared" si="10"/>
        <v/>
      </c>
      <c r="CG25" s="262">
        <f t="shared" si="5"/>
        <v>21</v>
      </c>
      <c r="CH25" s="801"/>
      <c r="CI25" s="734"/>
      <c r="CJ25" s="732"/>
      <c r="CK25" s="113"/>
      <c r="CL25" s="733"/>
      <c r="CM25" s="735"/>
      <c r="CO25" s="698" t="str">
        <f t="shared" si="6"/>
        <v/>
      </c>
      <c r="CP25" s="262">
        <f t="shared" si="7"/>
        <v>21</v>
      </c>
      <c r="CQ25" s="801" t="str">
        <v>h</v>
      </c>
      <c r="CR25" s="734" t="str">
        <v>c</v>
      </c>
      <c r="CS25" s="732" t="str">
        <v>ㄏ</v>
      </c>
      <c r="CT25" s="113" t="str">
        <v>h</v>
      </c>
      <c r="CU25" s="733" t="str">
        <v>聲</v>
      </c>
      <c r="CV25" s="735">
        <v>1</v>
      </c>
      <c r="CX25" s="847" t="str">
        <f t="shared" si="8"/>
        <v/>
      </c>
      <c r="CY25" s="262">
        <f t="shared" si="9"/>
        <v>21</v>
      </c>
      <c r="CZ25" s="801"/>
      <c r="DA25" s="734"/>
      <c r="DB25" s="732"/>
      <c r="DC25" s="113"/>
      <c r="DD25" s="733"/>
      <c r="DE25" s="735"/>
      <c r="DG25" s="698"/>
    </row>
    <row r="26" spans="1:111" s="195" customFormat="1" ht="45" customHeight="1" outlineLevel="1">
      <c r="A26" s="712"/>
      <c r="AD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M26" s="145"/>
      <c r="BN26" s="262">
        <f t="shared" si="1"/>
        <v>22</v>
      </c>
      <c r="BO26" s="823" t="str" cm="1">
        <f t="array" ref="BO26" xml:space="preserve"> INDEX(_xlfn.ANCHORARRAY($D$17), 1, $BN26)</f>
        <v>a</v>
      </c>
      <c r="BP26" s="820" t="str" cm="1">
        <f t="array" ref="BP26" xml:space="preserve"> INDEX(_xlfn.ANCHORARRAY($D$18), 1, $BN26)</f>
        <v>8</v>
      </c>
      <c r="BQ26" s="732" t="str" cm="1">
        <f t="array" ref="BQ26" xml:space="preserve"> INDEX(_xlfn.ANCHORARRAY($D$19), 1, $BN26)</f>
        <v>ㄚ</v>
      </c>
      <c r="BR26" s="824" t="str" cm="1">
        <f t="array" ref="BR26" xml:space="preserve"> INDEX(_xlfn.ANCHORARRAY($D$20), 1, $BN26)</f>
        <v>a</v>
      </c>
      <c r="BS26" s="825" t="str" cm="1">
        <f t="array" ref="BS26" xml:space="preserve"> INDEX(注音編碼對照表[聲韻調], MATCH(TRUE, EXACT($BP26, 注音編碼對照表[鍵盤按鍵]), 0))</f>
        <v>韻</v>
      </c>
      <c r="BT26" s="826">
        <f t="shared" si="2"/>
        <v>1</v>
      </c>
      <c r="BV26" s="549" t="str">
        <f t="shared" si="3"/>
        <v xml:space="preserve">    "8": { commit: "ㄚ" }  # /a/ ==&gt; a</v>
      </c>
      <c r="BW26" s="263"/>
      <c r="BX26" s="262">
        <f t="shared" si="4"/>
        <v>22</v>
      </c>
      <c r="BY26" s="801" t="str">
        <v>o</v>
      </c>
      <c r="BZ26" s="734" t="str">
        <v>k</v>
      </c>
      <c r="CA26" s="732" t="str">
        <v>ㄜ</v>
      </c>
      <c r="CB26" s="113" t="str">
        <v>o</v>
      </c>
      <c r="CC26" s="733" t="str">
        <v>韻</v>
      </c>
      <c r="CD26" s="735">
        <v>1</v>
      </c>
      <c r="CF26" s="698" t="str">
        <f t="shared" si="10"/>
        <v/>
      </c>
      <c r="CG26" s="262">
        <f t="shared" si="5"/>
        <v>22</v>
      </c>
      <c r="CH26" s="801"/>
      <c r="CI26" s="734"/>
      <c r="CJ26" s="732"/>
      <c r="CK26" s="113"/>
      <c r="CL26" s="733"/>
      <c r="CM26" s="735"/>
      <c r="CO26" s="698" t="str">
        <f t="shared" si="6"/>
        <v/>
      </c>
      <c r="CP26" s="262">
        <f t="shared" si="7"/>
        <v>22</v>
      </c>
      <c r="CQ26" s="801"/>
      <c r="CR26" s="734"/>
      <c r="CS26" s="732"/>
      <c r="CT26" s="113"/>
      <c r="CU26" s="733"/>
      <c r="CV26" s="735"/>
      <c r="CX26" s="847" t="str">
        <f t="shared" si="8"/>
        <v/>
      </c>
      <c r="CY26" s="262">
        <f t="shared" si="9"/>
        <v>22</v>
      </c>
      <c r="CZ26" s="801"/>
      <c r="DA26" s="734"/>
      <c r="DB26" s="732"/>
      <c r="DC26" s="113"/>
      <c r="DD26" s="733"/>
      <c r="DE26" s="735"/>
      <c r="DG26" s="698"/>
    </row>
    <row r="27" spans="1:111" s="195" customFormat="1" ht="45" customHeight="1" outlineLevel="1">
      <c r="A27" s="249"/>
      <c r="B27" s="291" t="s">
        <v>615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3"/>
      <c r="V27" s="293"/>
      <c r="W27" s="293"/>
      <c r="X27" s="293"/>
      <c r="Y27" s="293"/>
      <c r="Z27" s="293"/>
      <c r="AA27" s="293"/>
      <c r="AB27" s="293"/>
      <c r="AC27" s="293"/>
      <c r="AD27" s="293"/>
      <c r="AE27" s="293"/>
      <c r="AF27" s="293"/>
      <c r="AG27" s="293"/>
      <c r="AH27" s="293"/>
      <c r="AI27" s="290"/>
      <c r="AJ27" s="290"/>
      <c r="AK27" s="810"/>
      <c r="AL27" s="810"/>
      <c r="AM27" s="810"/>
      <c r="AN27" s="810"/>
      <c r="AO27" s="810"/>
      <c r="AP27" s="810"/>
      <c r="AQ27" s="810"/>
      <c r="AR27" s="810"/>
      <c r="AS27" s="810"/>
      <c r="AT27" s="810"/>
      <c r="AU27" s="810"/>
      <c r="AV27" s="810"/>
      <c r="AW27" s="810"/>
      <c r="AX27" s="810"/>
      <c r="AY27" s="810"/>
      <c r="AZ27" s="810"/>
      <c r="BA27" s="810"/>
      <c r="BB27" s="810"/>
      <c r="BC27" s="810"/>
      <c r="BM27" s="145"/>
      <c r="BN27" s="262">
        <f t="shared" si="1"/>
        <v>23</v>
      </c>
      <c r="BO27" s="823" t="str" cm="1">
        <f t="array" ref="BO27" xml:space="preserve"> INDEX(_xlfn.ANCHORARRAY($D$17), 1, $BN27)</f>
        <v>i</v>
      </c>
      <c r="BP27" s="820" t="str" cm="1">
        <f t="array" ref="BP27" xml:space="preserve"> INDEX(_xlfn.ANCHORARRAY($D$18), 1, $BN27)</f>
        <v>u</v>
      </c>
      <c r="BQ27" s="732" t="str" cm="1">
        <f t="array" ref="BQ27" xml:space="preserve"> INDEX(_xlfn.ANCHORARRAY($D$19), 1, $BN27)</f>
        <v>ㄧ</v>
      </c>
      <c r="BR27" s="824" t="str" cm="1">
        <f t="array" ref="BR27" xml:space="preserve"> INDEX(_xlfn.ANCHORARRAY($D$20), 1, $BN27)</f>
        <v>i</v>
      </c>
      <c r="BS27" s="825" t="str" cm="1">
        <f t="array" ref="BS27" xml:space="preserve"> INDEX(注音編碼對照表[聲韻調], MATCH(TRUE, EXACT($BP27, 注音編碼對照表[鍵盤按鍵]), 0))</f>
        <v>韻</v>
      </c>
      <c r="BT27" s="826">
        <f t="shared" si="2"/>
        <v>1</v>
      </c>
      <c r="BV27" s="549" t="str">
        <f t="shared" si="3"/>
        <v xml:space="preserve">    "u": { commit: "ㄧ" }  # /i/ ==&gt; i</v>
      </c>
      <c r="BW27" s="263"/>
      <c r="BX27" s="262">
        <f t="shared" si="4"/>
        <v>23</v>
      </c>
      <c r="BY27" s="801" t="str">
        <v>M</v>
      </c>
      <c r="BZ27" s="734" t="str">
        <v>m</v>
      </c>
      <c r="CA27" s="732" t="str">
        <v>ㆬ</v>
      </c>
      <c r="CB27" s="113" t="str">
        <v>m</v>
      </c>
      <c r="CC27" s="733" t="str">
        <v>韻</v>
      </c>
      <c r="CD27" s="735">
        <v>1</v>
      </c>
      <c r="CF27" s="698" t="str">
        <f t="shared" si="10"/>
        <v/>
      </c>
      <c r="CG27" s="262">
        <f t="shared" si="5"/>
        <v>23</v>
      </c>
      <c r="CH27" s="801"/>
      <c r="CI27" s="734"/>
      <c r="CJ27" s="732"/>
      <c r="CK27" s="113"/>
      <c r="CL27" s="733"/>
      <c r="CM27" s="735"/>
      <c r="CO27" s="698" t="str">
        <f t="shared" si="6"/>
        <v/>
      </c>
      <c r="CP27" s="262">
        <f t="shared" si="7"/>
        <v>23</v>
      </c>
      <c r="CQ27" s="801"/>
      <c r="CR27" s="734"/>
      <c r="CS27" s="732"/>
      <c r="CT27" s="113"/>
      <c r="CU27" s="733"/>
      <c r="CV27" s="735"/>
      <c r="CX27" s="847" t="str">
        <f t="shared" si="8"/>
        <v/>
      </c>
      <c r="CY27" s="262">
        <f t="shared" si="9"/>
        <v>23</v>
      </c>
      <c r="CZ27" s="801"/>
      <c r="DA27" s="734"/>
      <c r="DB27" s="732"/>
      <c r="DC27" s="113"/>
      <c r="DD27" s="733"/>
      <c r="DE27" s="735"/>
      <c r="DG27" s="698"/>
    </row>
    <row r="28" spans="1:111" s="195" customFormat="1" ht="45" customHeight="1" outlineLevel="1">
      <c r="A28" s="249"/>
      <c r="B28" s="790" t="str">
        <f>_xlfn.CONCAT("  alphabet: """,D18:AZ18,BI18:BK18,BA18:BH18,"""")</f>
        <v xml:space="preserve">  alphabet: "a!1qs2wxNEedYyhnRrfvc8uKj,ik9l*UJ&lt;I(Lmp/M0;Oobtgz.?-:[5346]7"</v>
      </c>
      <c r="C28" s="791"/>
      <c r="D28" s="791"/>
      <c r="E28" s="791"/>
      <c r="F28" s="791"/>
      <c r="G28" s="791"/>
      <c r="H28" s="791"/>
      <c r="I28" s="791"/>
      <c r="J28" s="791"/>
      <c r="K28" s="791"/>
      <c r="L28" s="791"/>
      <c r="M28" s="791"/>
      <c r="N28" s="791"/>
      <c r="O28" s="791"/>
      <c r="P28" s="791"/>
      <c r="Q28" s="791"/>
      <c r="R28" s="791"/>
      <c r="S28" s="791"/>
      <c r="T28" s="791"/>
      <c r="U28" s="791"/>
      <c r="V28" s="791"/>
      <c r="W28" s="791"/>
      <c r="X28" s="791"/>
      <c r="Y28" s="791"/>
      <c r="Z28" s="791"/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249"/>
      <c r="AL28" s="249"/>
      <c r="AM28" s="249"/>
      <c r="AN28" s="249"/>
      <c r="AO28" s="249"/>
      <c r="AP28" s="249"/>
      <c r="AQ28" s="249"/>
      <c r="AR28" s="234"/>
      <c r="AS28" s="234"/>
      <c r="AT28" s="249"/>
      <c r="AU28" s="249"/>
      <c r="AV28" s="249"/>
      <c r="AW28" s="145"/>
      <c r="AX28" s="145"/>
      <c r="AY28" s="145"/>
      <c r="AZ28" s="145"/>
      <c r="BA28" s="145"/>
      <c r="BB28" s="145"/>
      <c r="BJ28" s="290"/>
      <c r="BK28" s="290"/>
      <c r="BL28" s="290"/>
      <c r="BM28" s="145"/>
      <c r="BN28" s="262">
        <f t="shared" si="1"/>
        <v>24</v>
      </c>
      <c r="BO28" s="823" t="str" cm="1">
        <f t="array" ref="BO28" xml:space="preserve"> INDEX(_xlfn.ANCHORARRAY($D$17), 1, $BN28)</f>
        <v>w</v>
      </c>
      <c r="BP28" s="820" t="str" cm="1">
        <f t="array" ref="BP28" xml:space="preserve"> INDEX(_xlfn.ANCHORARRAY($D$18), 1, $BN28)</f>
        <v>K</v>
      </c>
      <c r="BQ28" s="732" t="str" cm="1">
        <f t="array" ref="BQ28" xml:space="preserve"> INDEX(_xlfn.ANCHORARRAY($D$19), 1, $BN28)</f>
        <v>ㆨ</v>
      </c>
      <c r="BR28" s="824" t="str" cm="1">
        <f t="array" ref="BR28" xml:space="preserve"> INDEX(_xlfn.ANCHORARRAY($D$20), 1, $BN28)</f>
        <v>eu</v>
      </c>
      <c r="BS28" s="825" t="str" cm="1">
        <f t="array" ref="BS28" xml:space="preserve"> INDEX(注音編碼對照表[聲韻調], MATCH(TRUE, EXACT($BP28, 注音編碼對照表[鍵盤按鍵]), 0))</f>
        <v>韻</v>
      </c>
      <c r="BT28" s="826">
        <f t="shared" si="2"/>
        <v>2</v>
      </c>
      <c r="BV28" s="549" t="str">
        <f t="shared" si="3"/>
        <v xml:space="preserve">    "K": { commit: "ㆨ" }  # /eu/ ==&gt; w</v>
      </c>
      <c r="BW28" s="263"/>
      <c r="BX28" s="262">
        <f t="shared" si="4"/>
        <v>24</v>
      </c>
      <c r="BY28" s="801" t="str">
        <v>N</v>
      </c>
      <c r="BZ28" s="734" t="str">
        <v>p</v>
      </c>
      <c r="CA28" s="732" t="str">
        <v>ㄣ</v>
      </c>
      <c r="CB28" s="113" t="str">
        <v>n</v>
      </c>
      <c r="CC28" s="733" t="str">
        <v>韻</v>
      </c>
      <c r="CD28" s="735">
        <v>1</v>
      </c>
      <c r="CF28" s="698"/>
      <c r="CG28" s="262">
        <f t="shared" si="5"/>
        <v>24</v>
      </c>
      <c r="CH28" s="801"/>
      <c r="CI28" s="734"/>
      <c r="CJ28" s="732"/>
      <c r="CK28" s="113"/>
      <c r="CL28" s="733"/>
      <c r="CM28" s="735"/>
      <c r="CO28" s="698"/>
      <c r="CP28" s="262">
        <f t="shared" si="7"/>
        <v>24</v>
      </c>
      <c r="CQ28" s="801"/>
      <c r="CR28" s="734"/>
      <c r="CS28" s="732"/>
      <c r="CT28" s="113"/>
      <c r="CU28" s="733"/>
      <c r="CV28" s="735"/>
      <c r="CX28" s="847" t="str">
        <f t="shared" si="8"/>
        <v/>
      </c>
      <c r="CY28" s="262">
        <f t="shared" si="9"/>
        <v>24</v>
      </c>
      <c r="CZ28" s="801"/>
      <c r="DA28" s="734"/>
      <c r="DB28" s="732"/>
      <c r="DC28" s="113"/>
      <c r="DD28" s="733"/>
      <c r="DE28" s="735"/>
      <c r="DG28" s="698"/>
    </row>
    <row r="29" spans="1:111" s="195" customFormat="1" ht="45" customHeight="1" outlineLevel="1">
      <c r="B29" s="790" t="str">
        <f>_xlfn.CONCAT("  initials: """,D18:AZ18,BI18:BK18,"""")</f>
        <v xml:space="preserve">  initials: "a!1qs2wxNEedYyhnRrfvc8uKj,ik9l*UJ&lt;I(Lmp/M0;Oobtgz.?-"</v>
      </c>
      <c r="C29" s="792"/>
      <c r="D29" s="793"/>
      <c r="E29" s="794"/>
      <c r="F29" s="794"/>
      <c r="G29" s="794"/>
      <c r="H29" s="794"/>
      <c r="I29" s="794"/>
      <c r="J29" s="794"/>
      <c r="K29" s="794"/>
      <c r="L29" s="794"/>
      <c r="M29" s="794"/>
      <c r="N29" s="794"/>
      <c r="O29" s="794"/>
      <c r="P29" s="794"/>
      <c r="Q29" s="794"/>
      <c r="R29" s="794"/>
      <c r="S29" s="794"/>
      <c r="T29" s="794"/>
      <c r="U29" s="794"/>
      <c r="V29" s="794"/>
      <c r="W29" s="794"/>
      <c r="X29" s="794"/>
      <c r="Y29" s="794"/>
      <c r="Z29" s="794"/>
      <c r="AA29" s="794"/>
      <c r="AB29" s="794"/>
      <c r="AC29" s="794"/>
      <c r="AD29" s="794"/>
      <c r="AE29" s="794"/>
      <c r="AF29" s="794"/>
      <c r="AG29" s="794"/>
      <c r="AH29" s="794"/>
      <c r="AI29" s="794"/>
      <c r="AJ29" s="794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M29" s="145"/>
      <c r="BN29" s="262">
        <f t="shared" si="1"/>
        <v>25</v>
      </c>
      <c r="BO29" s="823" t="str" cm="1">
        <f t="array" ref="BO29" xml:space="preserve"> INDEX(_xlfn.ANCHORARRAY($D$17), 1, $BN29)</f>
        <v>u</v>
      </c>
      <c r="BP29" s="820" t="str" cm="1">
        <f t="array" ref="BP29" xml:space="preserve"> INDEX(_xlfn.ANCHORARRAY($D$18), 1, $BN29)</f>
        <v>j</v>
      </c>
      <c r="BQ29" s="732" t="str" cm="1">
        <f t="array" ref="BQ29" xml:space="preserve"> INDEX(_xlfn.ANCHORARRAY($D$19), 1, $BN29)</f>
        <v>ㄨ</v>
      </c>
      <c r="BR29" s="824" t="str" cm="1">
        <f t="array" ref="BR29" xml:space="preserve"> INDEX(_xlfn.ANCHORARRAY($D$20), 1, $BN29)</f>
        <v>u</v>
      </c>
      <c r="BS29" s="825" t="str" cm="1">
        <f t="array" ref="BS29" xml:space="preserve"> INDEX(注音編碼對照表[聲韻調], MATCH(TRUE, EXACT($BP29, 注音編碼對照表[鍵盤按鍵]), 0))</f>
        <v>韻</v>
      </c>
      <c r="BT29" s="826">
        <f t="shared" si="2"/>
        <v>1</v>
      </c>
      <c r="BV29" s="549" t="str">
        <f t="shared" si="3"/>
        <v xml:space="preserve">    "j": { commit: "ㄨ" }  # /u/ ==&gt; u</v>
      </c>
      <c r="BW29" s="263"/>
      <c r="BX29" s="262">
        <f t="shared" si="4"/>
        <v>25</v>
      </c>
      <c r="BY29" s="801"/>
      <c r="BZ29" s="734"/>
      <c r="CA29" s="732"/>
      <c r="CB29" s="113"/>
      <c r="CC29" s="733"/>
      <c r="CD29" s="735"/>
      <c r="CF29" s="698"/>
      <c r="CG29" s="262">
        <f t="shared" si="5"/>
        <v>25</v>
      </c>
      <c r="CH29" s="801"/>
      <c r="CI29" s="734"/>
      <c r="CJ29" s="732"/>
      <c r="CK29" s="113"/>
      <c r="CL29" s="733"/>
      <c r="CM29" s="735"/>
      <c r="CO29" s="698"/>
      <c r="CP29" s="262">
        <f t="shared" si="7"/>
        <v>25</v>
      </c>
      <c r="CQ29" s="801"/>
      <c r="CR29" s="734"/>
      <c r="CS29" s="732"/>
      <c r="CT29" s="113"/>
      <c r="CU29" s="733"/>
      <c r="CV29" s="735"/>
      <c r="CX29" s="847" t="str">
        <f t="shared" si="8"/>
        <v/>
      </c>
      <c r="CY29" s="262">
        <f t="shared" si="9"/>
        <v>25</v>
      </c>
      <c r="CZ29" s="801"/>
      <c r="DA29" s="734"/>
      <c r="DB29" s="732"/>
      <c r="DC29" s="113"/>
      <c r="DD29" s="733"/>
      <c r="DE29" s="735"/>
      <c r="DG29" s="698"/>
    </row>
    <row r="30" spans="1:111" s="302" customFormat="1" ht="45" customHeight="1" outlineLevel="1">
      <c r="A30" s="195"/>
      <c r="B30" s="790" t="str">
        <f>_xlfn.CONCAT("  finals: """,BA18:BH18,"""")</f>
        <v xml:space="preserve">  finals: ":[5346]7"</v>
      </c>
      <c r="C30" s="792"/>
      <c r="D30" s="792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2"/>
      <c r="P30" s="792"/>
      <c r="Q30" s="792"/>
      <c r="R30" s="792"/>
      <c r="S30" s="792"/>
      <c r="T30" s="792"/>
      <c r="U30" s="792"/>
      <c r="V30" s="792"/>
      <c r="W30" s="792"/>
      <c r="X30" s="792"/>
      <c r="Y30" s="792"/>
      <c r="Z30" s="792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12"/>
      <c r="AL30" s="712"/>
      <c r="AM30" s="712"/>
      <c r="AN30" s="712"/>
      <c r="AO30" s="712"/>
      <c r="AP30" s="712"/>
      <c r="AQ30" s="712"/>
      <c r="AR30" s="713"/>
      <c r="AS30" s="713"/>
      <c r="AT30" s="712"/>
      <c r="AU30" s="712"/>
      <c r="AV30" s="712"/>
      <c r="AW30" s="714"/>
      <c r="AX30" s="714"/>
      <c r="AY30" s="714"/>
      <c r="AZ30" s="714"/>
      <c r="BA30" s="714"/>
      <c r="BB30" s="714"/>
      <c r="BC30" s="715"/>
      <c r="BD30" s="715"/>
      <c r="BE30" s="715"/>
      <c r="BF30" s="715"/>
      <c r="BG30" s="715"/>
      <c r="BH30" s="715"/>
      <c r="BI30" s="715"/>
      <c r="BJ30" s="716"/>
      <c r="BK30" s="716"/>
      <c r="BL30" s="290"/>
      <c r="BM30" s="195"/>
      <c r="BN30" s="262">
        <f t="shared" si="1"/>
        <v>26</v>
      </c>
      <c r="BO30" s="823" t="str" cm="1">
        <f t="array" ref="BO30" xml:space="preserve"> INDEX(_xlfn.ANCHORARRAY($D$17), 1, $BN30)</f>
        <v>e</v>
      </c>
      <c r="BP30" s="820" t="str" cm="1">
        <f t="array" ref="BP30" xml:space="preserve"> INDEX(_xlfn.ANCHORARRAY($D$18), 1, $BN30)</f>
        <v>,</v>
      </c>
      <c r="BQ30" s="732" t="str" cm="1">
        <f t="array" ref="BQ30" xml:space="preserve"> INDEX(_xlfn.ANCHORARRAY($D$19), 1, $BN30)</f>
        <v>ㆤ</v>
      </c>
      <c r="BR30" s="824" t="str" cm="1">
        <f t="array" ref="BR30" xml:space="preserve"> INDEX(_xlfn.ANCHORARRAY($D$20), 1, $BN30)</f>
        <v>e</v>
      </c>
      <c r="BS30" s="825" t="str" cm="1">
        <f t="array" ref="BS30" xml:space="preserve"> INDEX(注音編碼對照表[聲韻調], MATCH(TRUE, EXACT($BP30, 注音編碼對照表[鍵盤按鍵]), 0))</f>
        <v>韻</v>
      </c>
      <c r="BT30" s="826">
        <f t="shared" si="2"/>
        <v>1</v>
      </c>
      <c r="BU30" s="195"/>
      <c r="BV30" s="549" t="str">
        <f t="shared" si="3"/>
        <v xml:space="preserve">    ",": { commit: "ㆤ" }  # /e/ ==&gt; e</v>
      </c>
      <c r="BW30" s="263"/>
      <c r="BX30" s="262">
        <f t="shared" si="4"/>
        <v>26</v>
      </c>
      <c r="BY30" s="801"/>
      <c r="BZ30" s="734"/>
      <c r="CA30" s="732"/>
      <c r="CB30" s="113"/>
      <c r="CC30" s="733"/>
      <c r="CD30" s="735"/>
      <c r="CE30" s="195"/>
      <c r="CF30" s="698"/>
      <c r="CG30" s="262">
        <f t="shared" si="5"/>
        <v>26</v>
      </c>
      <c r="CH30" s="801"/>
      <c r="CI30" s="734"/>
      <c r="CJ30" s="732"/>
      <c r="CK30" s="113"/>
      <c r="CL30" s="733"/>
      <c r="CM30" s="735"/>
      <c r="CN30" s="195"/>
      <c r="CO30" s="698"/>
      <c r="CP30" s="262">
        <f t="shared" si="7"/>
        <v>26</v>
      </c>
      <c r="CQ30" s="801"/>
      <c r="CR30" s="734"/>
      <c r="CS30" s="732"/>
      <c r="CT30" s="113"/>
      <c r="CU30" s="733"/>
      <c r="CV30" s="735"/>
      <c r="CW30" s="195"/>
      <c r="CX30" s="847" t="str">
        <f t="shared" si="8"/>
        <v/>
      </c>
      <c r="CY30" s="262">
        <f t="shared" si="9"/>
        <v>26</v>
      </c>
      <c r="CZ30" s="801"/>
      <c r="DA30" s="734"/>
      <c r="DB30" s="732"/>
      <c r="DC30" s="113"/>
      <c r="DD30" s="733"/>
      <c r="DE30" s="735"/>
      <c r="DF30" s="195"/>
      <c r="DG30" s="698"/>
    </row>
    <row r="31" spans="1:111" s="195" customFormat="1" ht="45" customHeight="1" outlineLevel="1">
      <c r="AK31" s="249"/>
      <c r="AL31" s="249"/>
      <c r="AM31" s="249"/>
      <c r="AN31" s="249"/>
      <c r="AO31" s="249"/>
      <c r="AP31" s="249"/>
      <c r="AQ31" s="249"/>
      <c r="AR31" s="234"/>
      <c r="AS31" s="234"/>
      <c r="AT31" s="249"/>
      <c r="AU31" s="249"/>
      <c r="AV31" s="249"/>
      <c r="AW31" s="145"/>
      <c r="AX31" s="145"/>
      <c r="AY31" s="145"/>
      <c r="AZ31" s="145"/>
      <c r="BA31" s="145"/>
      <c r="BB31" s="145"/>
      <c r="BJ31" s="290"/>
      <c r="BK31" s="290"/>
      <c r="BL31" s="290"/>
      <c r="BN31" s="262">
        <f t="shared" si="1"/>
        <v>27</v>
      </c>
      <c r="BO31" s="823" t="str" cm="1">
        <f t="array" ref="BO31" xml:space="preserve"> INDEX(_xlfn.ANCHORARRAY($D$17), 1, $BN31)</f>
        <v>O</v>
      </c>
      <c r="BP31" s="820" t="str" cm="1">
        <f t="array" ref="BP31" xml:space="preserve"> INDEX(_xlfn.ANCHORARRAY($D$18), 1, $BN31)</f>
        <v>i</v>
      </c>
      <c r="BQ31" s="732" t="str" cm="1">
        <f t="array" ref="BQ31" xml:space="preserve"> INDEX(_xlfn.ANCHORARRAY($D$19), 1, $BN31)</f>
        <v>ㆦ</v>
      </c>
      <c r="BR31" s="824" t="str" cm="1">
        <f t="array" ref="BR31" xml:space="preserve"> INDEX(_xlfn.ANCHORARRAY($D$20), 1, $BN31)</f>
        <v>oo</v>
      </c>
      <c r="BS31" s="825" t="str" cm="1">
        <f t="array" ref="BS31" xml:space="preserve"> INDEX(注音編碼對照表[聲韻調], MATCH(TRUE, EXACT($BP31, 注音編碼對照表[鍵盤按鍵]), 0))</f>
        <v>韻</v>
      </c>
      <c r="BT31" s="826">
        <f t="shared" si="2"/>
        <v>2</v>
      </c>
      <c r="BV31" s="549" t="str">
        <f t="shared" si="3"/>
        <v xml:space="preserve">    "i": { commit: "ㆦ" }  # /oo/ ==&gt; O</v>
      </c>
      <c r="BW31" s="263"/>
      <c r="BX31" s="262">
        <f t="shared" si="4"/>
        <v>27</v>
      </c>
      <c r="BY31" s="801"/>
      <c r="BZ31" s="734"/>
      <c r="CA31" s="732"/>
      <c r="CB31" s="113"/>
      <c r="CC31" s="733"/>
      <c r="CD31" s="735"/>
      <c r="CE31" s="302"/>
      <c r="CF31" s="698"/>
      <c r="CG31" s="262">
        <f t="shared" si="5"/>
        <v>27</v>
      </c>
      <c r="CH31" s="801"/>
      <c r="CI31" s="734"/>
      <c r="CJ31" s="732"/>
      <c r="CK31" s="113"/>
      <c r="CL31" s="733"/>
      <c r="CM31" s="735"/>
      <c r="CN31" s="302"/>
      <c r="CO31" s="698"/>
      <c r="CP31" s="262">
        <f t="shared" si="7"/>
        <v>27</v>
      </c>
      <c r="CQ31" s="801"/>
      <c r="CR31" s="734"/>
      <c r="CS31" s="732"/>
      <c r="CT31" s="113"/>
      <c r="CU31" s="733"/>
      <c r="CV31" s="735"/>
      <c r="CW31" s="302"/>
      <c r="CX31" s="847" t="str">
        <f t="shared" si="8"/>
        <v/>
      </c>
      <c r="CY31" s="262">
        <f t="shared" si="9"/>
        <v>27</v>
      </c>
      <c r="CZ31" s="801"/>
      <c r="DA31" s="734"/>
      <c r="DB31" s="732"/>
      <c r="DC31" s="113"/>
      <c r="DD31" s="733"/>
      <c r="DE31" s="735"/>
      <c r="DF31" s="302"/>
      <c r="DG31" s="698"/>
    </row>
    <row r="32" spans="1:111" s="195" customFormat="1" ht="45" customHeight="1" outlineLevel="1">
      <c r="AF32" s="813" t="str">
        <f>_xlfn.CONCAT(D17:X17)</f>
        <v>mBbpndtlŋvgkZzcsJjCSh</v>
      </c>
      <c r="AK32" s="249"/>
      <c r="AL32" s="249"/>
      <c r="AM32" s="249"/>
      <c r="AN32" s="249"/>
      <c r="AO32" s="249"/>
      <c r="AP32" s="249"/>
      <c r="AQ32" s="249"/>
      <c r="AR32" s="234"/>
      <c r="AS32" s="234"/>
      <c r="AT32" s="249"/>
      <c r="AU32" s="249"/>
      <c r="AV32" s="249"/>
      <c r="AW32" s="145"/>
      <c r="AX32" s="145"/>
      <c r="AY32" s="145"/>
      <c r="AZ32" s="145"/>
      <c r="BA32" s="145"/>
      <c r="BB32" s="145"/>
      <c r="BJ32" s="290"/>
      <c r="BK32" s="290"/>
      <c r="BL32" s="290"/>
      <c r="BN32" s="262">
        <f t="shared" si="1"/>
        <v>28</v>
      </c>
      <c r="BO32" s="823" t="str" cm="1">
        <f t="array" ref="BO32" xml:space="preserve"> INDEX(_xlfn.ANCHORARRAY($D$17), 1, $BN32)</f>
        <v>o</v>
      </c>
      <c r="BP32" s="820" t="str" cm="1">
        <f t="array" ref="BP32" xml:space="preserve"> INDEX(_xlfn.ANCHORARRAY($D$18), 1, $BN32)</f>
        <v>k</v>
      </c>
      <c r="BQ32" s="732" t="str" cm="1">
        <f t="array" ref="BQ32" xml:space="preserve"> INDEX(_xlfn.ANCHORARRAY($D$19), 1, $BN32)</f>
        <v>ㄜ</v>
      </c>
      <c r="BR32" s="824" t="str" cm="1">
        <f t="array" ref="BR32" xml:space="preserve"> INDEX(_xlfn.ANCHORARRAY($D$20), 1, $BN32)</f>
        <v>o</v>
      </c>
      <c r="BS32" s="825" t="str" cm="1">
        <f t="array" ref="BS32" xml:space="preserve"> INDEX(注音編碼對照表[聲韻調], MATCH(TRUE, EXACT($BP32, 注音編碼對照表[鍵盤按鍵]), 0))</f>
        <v>韻</v>
      </c>
      <c r="BT32" s="826">
        <f t="shared" si="2"/>
        <v>1</v>
      </c>
      <c r="BV32" s="549" t="str">
        <f t="shared" si="3"/>
        <v xml:space="preserve">    "k": { commit: "ㄜ" }  # /o/ ==&gt; o</v>
      </c>
      <c r="BW32" s="263"/>
      <c r="BX32" s="262">
        <f t="shared" si="4"/>
        <v>28</v>
      </c>
      <c r="BY32" s="801"/>
      <c r="BZ32" s="734"/>
      <c r="CA32" s="732"/>
      <c r="CB32" s="113"/>
      <c r="CC32" s="733"/>
      <c r="CD32" s="735"/>
      <c r="CE32" s="302"/>
      <c r="CF32" s="698"/>
      <c r="CG32" s="262">
        <f t="shared" si="5"/>
        <v>28</v>
      </c>
      <c r="CH32" s="801"/>
      <c r="CI32" s="734"/>
      <c r="CJ32" s="732"/>
      <c r="CK32" s="113"/>
      <c r="CL32" s="733"/>
      <c r="CM32" s="735"/>
      <c r="CN32" s="302"/>
      <c r="CO32" s="698"/>
      <c r="CP32" s="262">
        <f t="shared" si="7"/>
        <v>28</v>
      </c>
      <c r="CQ32" s="801"/>
      <c r="CR32" s="734"/>
      <c r="CS32" s="732"/>
      <c r="CT32" s="113"/>
      <c r="CU32" s="733"/>
      <c r="CV32" s="735"/>
      <c r="CW32" s="302"/>
      <c r="CX32" s="698"/>
      <c r="CY32" s="262">
        <f t="shared" si="9"/>
        <v>28</v>
      </c>
      <c r="CZ32" s="801"/>
      <c r="DA32" s="734"/>
      <c r="DB32" s="732"/>
      <c r="DC32" s="113"/>
      <c r="DD32" s="733"/>
      <c r="DE32" s="735"/>
      <c r="DF32" s="302"/>
      <c r="DG32" s="698"/>
    </row>
    <row r="33" spans="1:111" s="195" customFormat="1" ht="45" customHeight="1">
      <c r="B33" s="291" t="s">
        <v>573</v>
      </c>
      <c r="C33" s="292"/>
      <c r="D33" s="292"/>
      <c r="E33" s="292"/>
      <c r="F33" s="292"/>
      <c r="G33" s="292"/>
      <c r="H33" s="292"/>
      <c r="I33" s="292"/>
      <c r="J33" s="292"/>
      <c r="K33" s="292"/>
      <c r="L33" s="29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292"/>
      <c r="Y33" s="292"/>
      <c r="Z33" s="292"/>
      <c r="AA33" s="292"/>
      <c r="AB33" s="292"/>
      <c r="AC33" s="292"/>
      <c r="AD33" s="292"/>
      <c r="AE33" s="292"/>
      <c r="AF33" s="292"/>
      <c r="AG33" s="292"/>
      <c r="AH33" s="292"/>
      <c r="AK33" s="249"/>
      <c r="AL33" s="249"/>
      <c r="AM33" s="249"/>
      <c r="AN33" s="249"/>
      <c r="AO33" s="249"/>
      <c r="AP33" s="249"/>
      <c r="AQ33" s="249"/>
      <c r="AR33" s="234"/>
      <c r="AS33" s="234"/>
      <c r="AT33" s="249"/>
      <c r="AU33" s="249"/>
      <c r="AV33" s="249"/>
      <c r="AW33" s="145"/>
      <c r="AX33" s="145"/>
      <c r="AY33" s="145"/>
      <c r="AZ33" s="145"/>
      <c r="BA33" s="145"/>
      <c r="BB33" s="145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1"/>
        <v>29</v>
      </c>
      <c r="BO33" s="823" t="str" cm="1">
        <f t="array" ref="BO33" xml:space="preserve"> INDEX(_xlfn.ANCHORARRAY($D$17), 1, $BN33)</f>
        <v>I</v>
      </c>
      <c r="BP33" s="820" t="str" cm="1">
        <f t="array" ref="BP33" xml:space="preserve"> INDEX(_xlfn.ANCHORARRAY($D$18), 1, $BN33)</f>
        <v>9</v>
      </c>
      <c r="BQ33" s="732" t="str" cm="1">
        <f t="array" ref="BQ33" xml:space="preserve"> INDEX(_xlfn.ANCHORARRAY($D$19), 1, $BN33)</f>
        <v>ㄞ</v>
      </c>
      <c r="BR33" s="824" t="str" cm="1">
        <f t="array" ref="BR33" xml:space="preserve"> INDEX(_xlfn.ANCHORARRAY($D$20), 1, $BN33)</f>
        <v>ai</v>
      </c>
      <c r="BS33" s="825" t="str" cm="1">
        <f t="array" ref="BS33" xml:space="preserve"> INDEX(注音編碼對照表[聲韻調], MATCH(TRUE, EXACT($BP33, 注音編碼對照表[鍵盤按鍵]), 0))</f>
        <v>韻</v>
      </c>
      <c r="BT33" s="826">
        <f t="shared" si="2"/>
        <v>2</v>
      </c>
      <c r="BV33" s="549" t="str">
        <f t="shared" si="3"/>
        <v xml:space="preserve">    "9": { commit: "ㄞ" }  # /ai/ ==&gt; I</v>
      </c>
      <c r="BW33" s="263"/>
      <c r="BX33" s="262">
        <f t="shared" si="4"/>
        <v>29</v>
      </c>
      <c r="BY33" s="801"/>
      <c r="BZ33" s="734"/>
      <c r="CA33" s="732"/>
      <c r="CB33" s="113"/>
      <c r="CC33" s="733"/>
      <c r="CD33" s="735"/>
      <c r="CF33" s="698"/>
      <c r="CG33" s="262">
        <f t="shared" si="5"/>
        <v>29</v>
      </c>
      <c r="CH33" s="801"/>
      <c r="CI33" s="734"/>
      <c r="CJ33" s="732"/>
      <c r="CK33" s="113"/>
      <c r="CL33" s="733"/>
      <c r="CM33" s="735"/>
      <c r="CO33" s="698"/>
      <c r="CP33" s="262">
        <f t="shared" si="7"/>
        <v>29</v>
      </c>
      <c r="CQ33" s="801"/>
      <c r="CR33" s="734"/>
      <c r="CS33" s="732"/>
      <c r="CT33" s="113"/>
      <c r="CU33" s="733"/>
      <c r="CV33" s="735"/>
      <c r="CX33" s="698" t="str">
        <f t="shared" ref="CX33:CX56" si="39" xml:space="preserve"> IF(CU33=0, "", "    - xform/^" &amp; CU33 &amp; "(?!\d)/" &amp; CT33 &amp; "/  # " &amp; CQ33 &amp; " [ " &amp; CU33 &amp; "]")</f>
        <v/>
      </c>
      <c r="CY33" s="262">
        <f t="shared" si="9"/>
        <v>29</v>
      </c>
      <c r="CZ33" s="801"/>
      <c r="DA33" s="734"/>
      <c r="DB33" s="732"/>
      <c r="DC33" s="113"/>
      <c r="DD33" s="733"/>
      <c r="DE33" s="735"/>
      <c r="DG33" s="698"/>
    </row>
    <row r="34" spans="1:111" s="195" customFormat="1" ht="45" customHeight="1">
      <c r="A34" s="302"/>
      <c r="B34" s="293" t="s">
        <v>574</v>
      </c>
      <c r="C34" s="293"/>
      <c r="D34" s="293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4"/>
      <c r="U34" s="293"/>
      <c r="V34" s="293"/>
      <c r="W34" s="293"/>
      <c r="X34" s="293"/>
      <c r="Y34" s="293"/>
      <c r="Z34" s="290"/>
      <c r="AA34" s="290"/>
      <c r="AB34" s="290"/>
      <c r="AC34" s="290"/>
      <c r="AD34" s="290"/>
      <c r="AE34" s="290"/>
      <c r="AF34" s="290"/>
      <c r="AG34" s="290"/>
      <c r="AH34" s="290"/>
      <c r="AI34" s="290"/>
      <c r="AJ34" s="290"/>
      <c r="AK34" s="290"/>
      <c r="AL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316"/>
      <c r="BN34" s="262">
        <f t="shared" si="1"/>
        <v>30</v>
      </c>
      <c r="BO34" s="823" t="str" cm="1">
        <f t="array" ref="BO34" xml:space="preserve"> INDEX(_xlfn.ANCHORARRAY($D$17), 1, $BN34)</f>
        <v>U</v>
      </c>
      <c r="BP34" s="820" t="str" cm="1">
        <f t="array" ref="BP34" xml:space="preserve"> INDEX(_xlfn.ANCHORARRAY($D$18), 1, $BN34)</f>
        <v>l</v>
      </c>
      <c r="BQ34" s="732" t="str" cm="1">
        <f t="array" ref="BQ34" xml:space="preserve"> INDEX(_xlfn.ANCHORARRAY($D$19), 1, $BN34)</f>
        <v>ㄠ</v>
      </c>
      <c r="BR34" s="824" t="str" cm="1">
        <f t="array" ref="BR34" xml:space="preserve"> INDEX(_xlfn.ANCHORARRAY($D$20), 1, $BN34)</f>
        <v>au</v>
      </c>
      <c r="BS34" s="825" t="str" cm="1">
        <f t="array" ref="BS34" xml:space="preserve"> INDEX(注音編碼對照表[聲韻調], MATCH(TRUE, EXACT($BP34, 注音編碼對照表[鍵盤按鍵]), 0))</f>
        <v>韻</v>
      </c>
      <c r="BT34" s="826">
        <f t="shared" si="2"/>
        <v>2</v>
      </c>
      <c r="BV34" s="549" t="str">
        <f t="shared" si="3"/>
        <v xml:space="preserve">    "l": { commit: "ㄠ" }  # /au/ ==&gt; U</v>
      </c>
      <c r="BW34" s="263"/>
      <c r="BX34" s="262">
        <f t="shared" si="4"/>
        <v>30</v>
      </c>
      <c r="BY34" s="801"/>
      <c r="BZ34" s="734"/>
      <c r="CA34" s="732"/>
      <c r="CB34" s="113"/>
      <c r="CC34" s="733"/>
      <c r="CD34" s="735"/>
      <c r="CF34" s="698"/>
      <c r="CG34" s="262">
        <f t="shared" si="5"/>
        <v>30</v>
      </c>
      <c r="CH34" s="801"/>
      <c r="CI34" s="734"/>
      <c r="CJ34" s="732"/>
      <c r="CK34" s="113"/>
      <c r="CL34" s="733"/>
      <c r="CM34" s="735"/>
      <c r="CO34" s="698"/>
      <c r="CP34" s="262">
        <f t="shared" si="7"/>
        <v>30</v>
      </c>
      <c r="CQ34" s="801"/>
      <c r="CR34" s="734"/>
      <c r="CS34" s="732"/>
      <c r="CT34" s="113"/>
      <c r="CU34" s="733"/>
      <c r="CV34" s="735"/>
      <c r="CX34" s="698" t="str">
        <f t="shared" si="39"/>
        <v/>
      </c>
      <c r="CY34" s="262">
        <f t="shared" si="9"/>
        <v>30</v>
      </c>
      <c r="CZ34" s="801"/>
      <c r="DA34" s="734"/>
      <c r="DB34" s="732"/>
      <c r="DC34" s="113"/>
      <c r="DD34" s="733"/>
      <c r="DE34" s="735"/>
      <c r="DG34" s="698"/>
    </row>
    <row r="35" spans="1:111" s="195" customFormat="1" ht="45" customHeight="1">
      <c r="A35" s="249"/>
      <c r="B35" s="295" t="s">
        <v>7</v>
      </c>
      <c r="C35" s="296"/>
      <c r="D35" s="297">
        <f xml:space="preserve"> LEN(E35)</f>
        <v>60</v>
      </c>
      <c r="E35" s="798" t="str">
        <f xml:space="preserve"> _xlfn.CONCAT(D17:BK17)</f>
        <v>mBbpndtlŋvgkZzcsJjCShaiwueOoIURDXEQxyMNGY@AWHPTKV176532809L*</v>
      </c>
      <c r="F35" s="795"/>
      <c r="G35" s="795"/>
      <c r="H35" s="795"/>
      <c r="I35" s="795"/>
      <c r="J35" s="795"/>
      <c r="K35" s="795"/>
      <c r="L35" s="795"/>
      <c r="M35" s="795"/>
      <c r="N35" s="795"/>
      <c r="O35" s="795"/>
      <c r="P35" s="795"/>
      <c r="Q35" s="795"/>
      <c r="R35" s="795"/>
      <c r="S35" s="795"/>
      <c r="T35" s="795"/>
      <c r="U35" s="795"/>
      <c r="V35" s="795"/>
      <c r="W35" s="795"/>
      <c r="X35" s="795"/>
      <c r="Y35" s="795"/>
      <c r="Z35" s="795"/>
      <c r="AA35" s="795"/>
      <c r="AB35" s="795"/>
      <c r="AE35" s="195">
        <f xml:space="preserve"> LEN(AF35)</f>
        <v>49</v>
      </c>
      <c r="AF35" s="798" t="str">
        <f>_xlfn.CONCAT(D17:AZ17)</f>
        <v>mBbpndtlŋvgkZzcsJjCShaiwueOoIURDXEQxyMNGY@AWHPTKV</v>
      </c>
      <c r="AG35" s="795"/>
      <c r="AH35" s="795"/>
      <c r="AI35" s="795"/>
      <c r="AJ35" s="795"/>
      <c r="AK35" s="795"/>
      <c r="AL35" s="795"/>
      <c r="AM35" s="795"/>
      <c r="AN35" s="795"/>
      <c r="AO35" s="795"/>
      <c r="AP35" s="795"/>
      <c r="AQ35" s="795"/>
      <c r="AR35" s="795"/>
      <c r="AS35" s="795"/>
      <c r="AT35" s="795"/>
      <c r="AU35" s="795"/>
      <c r="AV35" s="795"/>
      <c r="AW35" s="795"/>
      <c r="AX35" s="795"/>
      <c r="AY35" s="795"/>
      <c r="AZ35" s="795"/>
      <c r="BA35" s="795"/>
      <c r="BB35" s="795"/>
      <c r="BD35" s="195">
        <f xml:space="preserve"> LEN(BE35)</f>
        <v>8</v>
      </c>
      <c r="BE35" s="798" t="str">
        <f>_xlfn.CONCAT(BA17:BH17)</f>
        <v>17653280</v>
      </c>
      <c r="BF35" s="795"/>
      <c r="BG35" s="798"/>
      <c r="BH35" s="795"/>
      <c r="BI35" s="798"/>
      <c r="BJ35" s="795"/>
      <c r="BK35" s="798"/>
      <c r="BL35" s="316"/>
      <c r="BN35" s="262">
        <f t="shared" si="1"/>
        <v>31</v>
      </c>
      <c r="BO35" s="823" t="str" cm="1">
        <f t="array" ref="BO35" xml:space="preserve"> INDEX(_xlfn.ANCHORARRAY($D$17), 1, $BN35)</f>
        <v>R</v>
      </c>
      <c r="BP35" s="820" t="str" cm="1">
        <f t="array" ref="BP35" xml:space="preserve"> INDEX(_xlfn.ANCHORARRAY($D$18), 1, $BN35)</f>
        <v>*</v>
      </c>
      <c r="BQ35" s="732" t="str" cm="1">
        <f t="array" ref="BQ35" xml:space="preserve"> INDEX(_xlfn.ANCHORARRAY($D$19), 1, $BN35)</f>
        <v>ㆩ</v>
      </c>
      <c r="BR35" s="824" t="str" cm="1">
        <f t="array" ref="BR35" xml:space="preserve"> INDEX(_xlfn.ANCHORARRAY($D$20), 1, $BN35)</f>
        <v>na</v>
      </c>
      <c r="BS35" s="825" t="str" cm="1">
        <f t="array" ref="BS35" xml:space="preserve"> INDEX(注音編碼對照表[聲韻調], MATCH(TRUE, EXACT($BP35, 注音編碼對照表[鍵盤按鍵]), 0))</f>
        <v>韻</v>
      </c>
      <c r="BT35" s="826">
        <f t="shared" si="2"/>
        <v>2</v>
      </c>
      <c r="BV35" s="549" t="str">
        <f t="shared" si="3"/>
        <v xml:space="preserve">    "*": { commit: "ㆩ" }  # /na/ ==&gt; R</v>
      </c>
      <c r="BW35" s="263"/>
      <c r="BX35" s="262">
        <f t="shared" si="4"/>
        <v>31</v>
      </c>
      <c r="BY35" s="801"/>
      <c r="BZ35" s="734"/>
      <c r="CA35" s="732"/>
      <c r="CB35" s="113"/>
      <c r="CC35" s="733"/>
      <c r="CD35" s="735"/>
      <c r="CF35" s="698"/>
      <c r="CG35" s="262">
        <f t="shared" si="5"/>
        <v>31</v>
      </c>
      <c r="CH35" s="801"/>
      <c r="CI35" s="734"/>
      <c r="CJ35" s="732"/>
      <c r="CK35" s="113"/>
      <c r="CL35" s="733"/>
      <c r="CM35" s="735"/>
      <c r="CO35" s="698"/>
      <c r="CP35" s="262">
        <f t="shared" si="7"/>
        <v>31</v>
      </c>
      <c r="CQ35" s="801"/>
      <c r="CR35" s="734"/>
      <c r="CS35" s="732"/>
      <c r="CT35" s="113"/>
      <c r="CU35" s="733"/>
      <c r="CV35" s="735"/>
      <c r="CX35" s="698" t="str">
        <f t="shared" si="39"/>
        <v/>
      </c>
      <c r="CY35" s="262">
        <f t="shared" si="9"/>
        <v>31</v>
      </c>
      <c r="CZ35" s="801"/>
      <c r="DA35" s="734"/>
      <c r="DB35" s="732"/>
      <c r="DC35" s="113"/>
      <c r="DD35" s="733"/>
      <c r="DE35" s="735"/>
      <c r="DG35" s="698"/>
    </row>
    <row r="36" spans="1:111" s="195" customFormat="1" ht="45" customHeight="1">
      <c r="B36" s="723" t="s">
        <v>11</v>
      </c>
      <c r="C36" s="299"/>
      <c r="D36" s="300">
        <f xml:space="preserve"> LEN(E36)</f>
        <v>60</v>
      </c>
      <c r="E36" s="799" t="str">
        <f xml:space="preserve"> _xlfn.CONCAT(D18:BK18)</f>
        <v>a!1qs2wxNEedYyhnRrfvc8uKj,ik9l*UJ&lt;I(Lmp/M0;Oobtgz:[5346]7.?-</v>
      </c>
      <c r="F36" s="796"/>
      <c r="G36" s="796"/>
      <c r="H36" s="796"/>
      <c r="I36" s="796"/>
      <c r="J36" s="796"/>
      <c r="K36" s="796"/>
      <c r="L36" s="796"/>
      <c r="M36" s="796"/>
      <c r="N36" s="796"/>
      <c r="O36" s="796"/>
      <c r="P36" s="796"/>
      <c r="Q36" s="796"/>
      <c r="R36" s="796"/>
      <c r="S36" s="796"/>
      <c r="T36" s="796"/>
      <c r="U36" s="796"/>
      <c r="V36" s="796"/>
      <c r="W36" s="796"/>
      <c r="X36" s="796"/>
      <c r="Y36" s="796"/>
      <c r="Z36" s="796"/>
      <c r="AA36" s="796"/>
      <c r="AB36" s="796"/>
      <c r="AE36" s="195">
        <f xml:space="preserve"> LEN(AF36)</f>
        <v>49</v>
      </c>
      <c r="AF36" s="799" t="str">
        <f>_xlfn.CONCAT(D18:AZ18)</f>
        <v>a!1qs2wxNEedYyhnRrfvc8uKj,ik9l*UJ&lt;I(Lmp/M0;Oobtgz</v>
      </c>
      <c r="AG36" s="796"/>
      <c r="AH36" s="796"/>
      <c r="AI36" s="796"/>
      <c r="AJ36" s="796"/>
      <c r="AK36" s="796"/>
      <c r="AL36" s="796"/>
      <c r="AM36" s="796"/>
      <c r="AN36" s="796"/>
      <c r="AO36" s="796"/>
      <c r="AP36" s="796"/>
      <c r="AQ36" s="796"/>
      <c r="AR36" s="796"/>
      <c r="AS36" s="796"/>
      <c r="AT36" s="796"/>
      <c r="AU36" s="796"/>
      <c r="AV36" s="796"/>
      <c r="AW36" s="796"/>
      <c r="AX36" s="796"/>
      <c r="AY36" s="796"/>
      <c r="AZ36" s="796"/>
      <c r="BA36" s="796"/>
      <c r="BB36" s="796"/>
      <c r="BD36" s="195">
        <f xml:space="preserve"> LEN(BE36)</f>
        <v>8</v>
      </c>
      <c r="BE36" s="799" t="str">
        <f>_xlfn.CONCAT(BA18:BH18)</f>
        <v>:[5346]7</v>
      </c>
      <c r="BF36" s="796"/>
      <c r="BG36" s="799"/>
      <c r="BH36" s="796"/>
      <c r="BI36" s="799"/>
      <c r="BJ36" s="796"/>
      <c r="BK36" s="799"/>
      <c r="BL36" s="316"/>
      <c r="BN36" s="262">
        <f t="shared" si="1"/>
        <v>32</v>
      </c>
      <c r="BO36" s="823" t="str" cm="1">
        <f t="array" ref="BO36" xml:space="preserve"> INDEX(_xlfn.ANCHORARRAY($D$17), 1, $BN36)</f>
        <v>D</v>
      </c>
      <c r="BP36" s="820" t="str" cm="1">
        <f t="array" ref="BP36" xml:space="preserve"> INDEX(_xlfn.ANCHORARRAY($D$18), 1, $BN36)</f>
        <v>U</v>
      </c>
      <c r="BQ36" s="732" t="str" cm="1">
        <f t="array" ref="BQ36" xml:space="preserve"> INDEX(_xlfn.ANCHORARRAY($D$19), 1, $BN36)</f>
        <v>ㆪ</v>
      </c>
      <c r="BR36" s="824" t="str" cm="1">
        <f t="array" ref="BR36" xml:space="preserve"> INDEX(_xlfn.ANCHORARRAY($D$20), 1, $BN36)</f>
        <v>ni</v>
      </c>
      <c r="BS36" s="825" t="str" cm="1">
        <f t="array" ref="BS36" xml:space="preserve"> INDEX(注音編碼對照表[聲韻調], MATCH(TRUE, EXACT($BP36, 注音編碼對照表[鍵盤按鍵]), 0))</f>
        <v>韻</v>
      </c>
      <c r="BT36" s="826">
        <f t="shared" si="2"/>
        <v>2</v>
      </c>
      <c r="BV36" s="549" t="str">
        <f t="shared" si="3"/>
        <v xml:space="preserve">    "U": { commit: "ㆪ" }  # /ni/ ==&gt; D</v>
      </c>
      <c r="BW36" s="263"/>
      <c r="BX36" s="262">
        <f t="shared" si="4"/>
        <v>32</v>
      </c>
      <c r="BY36" s="801"/>
      <c r="BZ36" s="734"/>
      <c r="CA36" s="732"/>
      <c r="CB36" s="113"/>
      <c r="CC36" s="733"/>
      <c r="CD36" s="735"/>
      <c r="CF36" s="698"/>
      <c r="CG36" s="262">
        <f t="shared" si="5"/>
        <v>32</v>
      </c>
      <c r="CH36" s="801"/>
      <c r="CI36" s="734"/>
      <c r="CJ36" s="732"/>
      <c r="CK36" s="113"/>
      <c r="CL36" s="733"/>
      <c r="CM36" s="735"/>
      <c r="CO36" s="698"/>
      <c r="CP36" s="262">
        <f t="shared" si="7"/>
        <v>32</v>
      </c>
      <c r="CQ36" s="801"/>
      <c r="CR36" s="734"/>
      <c r="CS36" s="732"/>
      <c r="CT36" s="113"/>
      <c r="CU36" s="733"/>
      <c r="CV36" s="735"/>
      <c r="CX36" s="698" t="str">
        <f t="shared" si="39"/>
        <v/>
      </c>
      <c r="CY36" s="262">
        <f t="shared" si="9"/>
        <v>32</v>
      </c>
      <c r="CZ36" s="801"/>
      <c r="DA36" s="734"/>
      <c r="DB36" s="732"/>
      <c r="DC36" s="113"/>
      <c r="DD36" s="733"/>
      <c r="DE36" s="735"/>
      <c r="DG36" s="698"/>
    </row>
    <row r="37" spans="1:111" s="195" customFormat="1" ht="45" customHeight="1">
      <c r="B37" s="303" t="str">
        <f xml:space="preserve"> "    - xlit|" &amp; E35 &amp; "|" &amp; E36 &amp; "|"</f>
        <v xml:space="preserve">    - xlit|mBbpndtlŋvgkZzcsJjCShaiwueOoIURDXEQxyMNGY@AWHPTKV176532809L*|a!1qs2wxNEedYyhnRrfvc8uKj,ik9l*UJ&lt;I(Lmp/M0;Oobtgz:[5346]7.?-|</v>
      </c>
      <c r="C37" s="304"/>
      <c r="D37" s="304"/>
      <c r="E37" s="304"/>
      <c r="F37" s="304"/>
      <c r="G37" s="304"/>
      <c r="H37" s="304"/>
      <c r="I37" s="304"/>
      <c r="J37" s="304"/>
      <c r="K37" s="304"/>
      <c r="L37" s="304"/>
      <c r="M37" s="304"/>
      <c r="N37" s="304"/>
      <c r="O37" s="304"/>
      <c r="P37" s="304"/>
      <c r="Q37" s="304"/>
      <c r="R37" s="304"/>
      <c r="S37" s="304"/>
      <c r="T37" s="304"/>
      <c r="U37" s="304"/>
      <c r="V37" s="304"/>
      <c r="W37" s="304"/>
      <c r="X37" s="304"/>
      <c r="Y37" s="304"/>
      <c r="Z37" s="304"/>
      <c r="AA37" s="304"/>
      <c r="AB37" s="304"/>
      <c r="AE37" s="290"/>
      <c r="AF37" s="315" t="str">
        <f xml:space="preserve"> "    - xlit|" &amp; AF35 &amp; "|" &amp; AF36 &amp; "|"</f>
        <v xml:space="preserve">    - xlit|mBbpndtlŋvgkZzcsJjCShaiwueOoIURDXEQxyMNGY@AWHPTKV|a!1qs2wxNEedYyhnRrfvc8uKj,ik9l*UJ&lt;I(Lmp/M0;Oobtgz|</v>
      </c>
      <c r="AG37" s="797"/>
      <c r="AH37" s="797"/>
      <c r="AI37" s="797"/>
      <c r="AJ37" s="797"/>
      <c r="AK37" s="797"/>
      <c r="AL37" s="797"/>
      <c r="AM37" s="797"/>
      <c r="AN37" s="797"/>
      <c r="AO37" s="797"/>
      <c r="AP37" s="797"/>
      <c r="AQ37" s="797"/>
      <c r="AR37" s="797"/>
      <c r="AS37" s="797"/>
      <c r="AT37" s="797"/>
      <c r="AU37" s="797"/>
      <c r="AV37" s="797"/>
      <c r="AW37" s="797"/>
      <c r="AX37" s="797"/>
      <c r="AY37" s="797"/>
      <c r="AZ37" s="797"/>
      <c r="BA37" s="797"/>
      <c r="BB37" s="797"/>
      <c r="BE37" s="315" t="str">
        <f xml:space="preserve"> "    - xlit|" &amp; BE35 &amp; "|" &amp; BE36 &amp; "|"</f>
        <v xml:space="preserve">    - xlit|17653280|:[5346]7|</v>
      </c>
      <c r="BF37" s="797"/>
      <c r="BG37" s="797"/>
      <c r="BH37" s="797"/>
      <c r="BI37" s="797"/>
      <c r="BJ37" s="797"/>
      <c r="BK37" s="797"/>
      <c r="BL37" s="316"/>
      <c r="BM37" s="145"/>
      <c r="BN37" s="262">
        <f t="shared" si="1"/>
        <v>33</v>
      </c>
      <c r="BO37" s="823" t="str" cm="1">
        <f t="array" ref="BO37" xml:space="preserve"> INDEX(_xlfn.ANCHORARRAY($D$17), 1, $BN37)</f>
        <v>X</v>
      </c>
      <c r="BP37" s="820" t="str" cm="1">
        <f t="array" ref="BP37" xml:space="preserve"> INDEX(_xlfn.ANCHORARRAY($D$18), 1, $BN37)</f>
        <v>J</v>
      </c>
      <c r="BQ37" s="732" t="str" cm="1">
        <f t="array" ref="BQ37" xml:space="preserve"> INDEX(_xlfn.ANCHORARRAY($D$19), 1, $BN37)</f>
        <v>ㆫ</v>
      </c>
      <c r="BR37" s="824" t="str" cm="1">
        <f t="array" ref="BR37" xml:space="preserve"> INDEX(_xlfn.ANCHORARRAY($D$20), 1, $BN37)</f>
        <v>nu</v>
      </c>
      <c r="BS37" s="825" t="str" cm="1">
        <f t="array" ref="BS37" xml:space="preserve"> INDEX(注音編碼對照表[聲韻調], MATCH(TRUE, EXACT($BP37, 注音編碼對照表[鍵盤按鍵]), 0))</f>
        <v>韻</v>
      </c>
      <c r="BT37" s="826">
        <f t="shared" si="2"/>
        <v>2</v>
      </c>
      <c r="BV37" s="549" t="str">
        <f t="shared" si="3"/>
        <v xml:space="preserve">    "J": { commit: "ㆫ" }  # /nu/ ==&gt; X</v>
      </c>
      <c r="BW37" s="263"/>
      <c r="BX37" s="262">
        <f t="shared" si="4"/>
        <v>33</v>
      </c>
      <c r="BY37" s="801"/>
      <c r="BZ37" s="734"/>
      <c r="CA37" s="732"/>
      <c r="CB37" s="113"/>
      <c r="CC37" s="733"/>
      <c r="CD37" s="735"/>
      <c r="CF37" s="698"/>
      <c r="CG37" s="262">
        <f t="shared" si="5"/>
        <v>33</v>
      </c>
      <c r="CH37" s="801"/>
      <c r="CI37" s="734"/>
      <c r="CJ37" s="732"/>
      <c r="CK37" s="113"/>
      <c r="CL37" s="733"/>
      <c r="CM37" s="735"/>
      <c r="CO37" s="698"/>
      <c r="CP37" s="262">
        <f t="shared" si="7"/>
        <v>33</v>
      </c>
      <c r="CQ37" s="801"/>
      <c r="CR37" s="734"/>
      <c r="CS37" s="732"/>
      <c r="CT37" s="113"/>
      <c r="CU37" s="733"/>
      <c r="CV37" s="735"/>
      <c r="CX37" s="698" t="str">
        <f t="shared" si="39"/>
        <v/>
      </c>
      <c r="CY37" s="262">
        <f t="shared" si="9"/>
        <v>33</v>
      </c>
      <c r="CZ37" s="801"/>
      <c r="DA37" s="734"/>
      <c r="DB37" s="732"/>
      <c r="DC37" s="113"/>
      <c r="DD37" s="733"/>
      <c r="DE37" s="735"/>
      <c r="DG37" s="698"/>
    </row>
    <row r="38" spans="1:111" s="195" customFormat="1" ht="45" customHeight="1"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5"/>
      <c r="AX38" s="145"/>
      <c r="AY38" s="145"/>
      <c r="AZ38" s="145"/>
      <c r="BA38" s="145"/>
      <c r="BB38" s="145"/>
      <c r="BC38" s="290"/>
      <c r="BD38" s="290"/>
      <c r="BE38" s="290"/>
      <c r="BF38" s="290"/>
      <c r="BG38" s="290"/>
      <c r="BH38" s="290"/>
      <c r="BI38" s="290"/>
      <c r="BJ38" s="316"/>
      <c r="BK38" s="316"/>
      <c r="BL38" s="316"/>
      <c r="BM38" s="145"/>
      <c r="BN38" s="262">
        <f t="shared" si="1"/>
        <v>34</v>
      </c>
      <c r="BO38" s="823" t="str" cm="1">
        <f t="array" ref="BO38" xml:space="preserve"> INDEX(_xlfn.ANCHORARRAY($D$17), 1, $BN38)</f>
        <v>E</v>
      </c>
      <c r="BP38" s="820" t="str" cm="1">
        <f t="array" ref="BP38" xml:space="preserve"> INDEX(_xlfn.ANCHORARRAY($D$18), 1, $BN38)</f>
        <v>&lt;</v>
      </c>
      <c r="BQ38" s="732" t="str" cm="1">
        <f t="array" ref="BQ38" xml:space="preserve"> INDEX(_xlfn.ANCHORARRAY($D$19), 1, $BN38)</f>
        <v>ㆥ</v>
      </c>
      <c r="BR38" s="824" t="str" cm="1">
        <f t="array" ref="BR38" xml:space="preserve"> INDEX(_xlfn.ANCHORARRAY($D$20), 1, $BN38)</f>
        <v>ne</v>
      </c>
      <c r="BS38" s="825" t="str" cm="1">
        <f t="array" ref="BS38" xml:space="preserve"> INDEX(注音編碼對照表[聲韻調], MATCH(TRUE, EXACT($BP38, 注音編碼對照表[鍵盤按鍵]), 0))</f>
        <v>韻</v>
      </c>
      <c r="BT38" s="826">
        <f t="shared" si="2"/>
        <v>2</v>
      </c>
      <c r="BV38" s="549" t="str">
        <f t="shared" si="3"/>
        <v xml:space="preserve">    "&lt;": { commit: "ㆥ" }  # /ne/ ==&gt; E</v>
      </c>
      <c r="BW38" s="263"/>
      <c r="BX38" s="262">
        <f t="shared" si="4"/>
        <v>34</v>
      </c>
      <c r="BY38" s="801"/>
      <c r="BZ38" s="734"/>
      <c r="CA38" s="732"/>
      <c r="CB38" s="113"/>
      <c r="CC38" s="733"/>
      <c r="CD38" s="735"/>
      <c r="CF38" s="698"/>
      <c r="CG38" s="262">
        <f t="shared" si="5"/>
        <v>34</v>
      </c>
      <c r="CH38" s="801"/>
      <c r="CI38" s="734"/>
      <c r="CJ38" s="732"/>
      <c r="CK38" s="113"/>
      <c r="CL38" s="733"/>
      <c r="CM38" s="735"/>
      <c r="CO38" s="698"/>
      <c r="CP38" s="262">
        <f t="shared" si="7"/>
        <v>34</v>
      </c>
      <c r="CQ38" s="801"/>
      <c r="CR38" s="734"/>
      <c r="CS38" s="732"/>
      <c r="CT38" s="113"/>
      <c r="CU38" s="733"/>
      <c r="CV38" s="735"/>
      <c r="CX38" s="698" t="str">
        <f t="shared" si="39"/>
        <v/>
      </c>
      <c r="CY38" s="262">
        <f t="shared" si="9"/>
        <v>34</v>
      </c>
      <c r="CZ38" s="801"/>
      <c r="DA38" s="734"/>
      <c r="DB38" s="732"/>
      <c r="DC38" s="113"/>
      <c r="DD38" s="733"/>
      <c r="DE38" s="735"/>
      <c r="DG38" s="698"/>
    </row>
    <row r="39" spans="1:111" s="195" customFormat="1" ht="45" customHeight="1"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5"/>
      <c r="AX39" s="145"/>
      <c r="AY39" s="145"/>
      <c r="AZ39" s="145"/>
      <c r="BA39" s="145"/>
      <c r="BB39" s="145"/>
      <c r="BC39" s="145"/>
      <c r="BD39" s="145"/>
      <c r="BE39" s="145"/>
      <c r="BF39" s="145"/>
      <c r="BG39" s="145"/>
      <c r="BH39" s="145"/>
      <c r="BI39" s="145"/>
      <c r="BJ39" s="145"/>
      <c r="BK39" s="145"/>
      <c r="BL39" s="316"/>
      <c r="BM39" s="145"/>
      <c r="BN39" s="262">
        <f t="shared" si="1"/>
        <v>35</v>
      </c>
      <c r="BO39" s="823" t="str" cm="1">
        <f t="array" ref="BO39" xml:space="preserve"> INDEX(_xlfn.ANCHORARRAY($D$17), 1, $BN39)</f>
        <v>Q</v>
      </c>
      <c r="BP39" s="820" t="str" cm="1">
        <f t="array" ref="BP39" xml:space="preserve"> INDEX(_xlfn.ANCHORARRAY($D$18), 1, $BN39)</f>
        <v>I</v>
      </c>
      <c r="BQ39" s="732" t="str" cm="1">
        <f t="array" ref="BQ39" xml:space="preserve"> INDEX(_xlfn.ANCHORARRAY($D$19), 1, $BN39)</f>
        <v>ㆧ</v>
      </c>
      <c r="BR39" s="824" t="str" cm="1">
        <f t="array" ref="BR39" xml:space="preserve"> INDEX(_xlfn.ANCHORARRAY($D$20), 1, $BN39)</f>
        <v>no</v>
      </c>
      <c r="BS39" s="825" t="str" cm="1">
        <f t="array" ref="BS39" xml:space="preserve"> INDEX(注音編碼對照表[聲韻調], MATCH(TRUE, EXACT($BP39, 注音編碼對照表[鍵盤按鍵]), 0))</f>
        <v>韻</v>
      </c>
      <c r="BT39" s="826">
        <f t="shared" si="2"/>
        <v>2</v>
      </c>
      <c r="BV39" s="549" t="str">
        <f t="shared" si="3"/>
        <v xml:space="preserve">    "I": { commit: "ㆧ" }  # /no/ ==&gt; Q</v>
      </c>
      <c r="BW39" s="263"/>
      <c r="BX39" s="262">
        <f t="shared" si="4"/>
        <v>35</v>
      </c>
      <c r="BY39" s="801"/>
      <c r="BZ39" s="734"/>
      <c r="CA39" s="732"/>
      <c r="CB39" s="113"/>
      <c r="CC39" s="733"/>
      <c r="CD39" s="735"/>
      <c r="CF39" s="698"/>
      <c r="CG39" s="262">
        <f t="shared" si="5"/>
        <v>35</v>
      </c>
      <c r="CH39" s="801"/>
      <c r="CI39" s="734"/>
      <c r="CJ39" s="732"/>
      <c r="CK39" s="113"/>
      <c r="CL39" s="733"/>
      <c r="CM39" s="735"/>
      <c r="CO39" s="698"/>
      <c r="CP39" s="262">
        <f t="shared" si="7"/>
        <v>35</v>
      </c>
      <c r="CQ39" s="801"/>
      <c r="CR39" s="734"/>
      <c r="CS39" s="732"/>
      <c r="CT39" s="113"/>
      <c r="CU39" s="733"/>
      <c r="CV39" s="735"/>
      <c r="CX39" s="698" t="str">
        <f t="shared" si="39"/>
        <v/>
      </c>
      <c r="CY39" s="262">
        <f t="shared" si="9"/>
        <v>35</v>
      </c>
      <c r="CZ39" s="801"/>
      <c r="DA39" s="734"/>
      <c r="DB39" s="732"/>
      <c r="DC39" s="113"/>
      <c r="DD39" s="733"/>
      <c r="DE39" s="735"/>
      <c r="DG39" s="698"/>
    </row>
    <row r="40" spans="1:111" ht="45" customHeight="1">
      <c r="A40" s="195"/>
      <c r="B40" s="750">
        <v>1</v>
      </c>
      <c r="C40" s="750">
        <v>2</v>
      </c>
      <c r="D40" s="750">
        <v>3</v>
      </c>
      <c r="E40" s="750">
        <v>4</v>
      </c>
      <c r="F40" s="750">
        <v>5</v>
      </c>
      <c r="G40" s="750">
        <v>6</v>
      </c>
      <c r="H40" s="750">
        <v>7</v>
      </c>
      <c r="I40" s="750">
        <v>8</v>
      </c>
      <c r="J40" s="750">
        <v>9</v>
      </c>
      <c r="K40" s="750">
        <v>10</v>
      </c>
      <c r="L40" s="750">
        <v>11</v>
      </c>
      <c r="M40" s="750">
        <v>12</v>
      </c>
      <c r="N40" s="750">
        <v>13</v>
      </c>
      <c r="O40" s="750">
        <v>14</v>
      </c>
      <c r="P40" s="750">
        <v>15</v>
      </c>
      <c r="Q40" s="750">
        <v>16</v>
      </c>
      <c r="R40" s="750">
        <v>17</v>
      </c>
      <c r="S40" s="751">
        <v>18</v>
      </c>
      <c r="T40" s="750">
        <v>19</v>
      </c>
      <c r="U40" s="750">
        <v>20</v>
      </c>
      <c r="V40" s="750">
        <v>21</v>
      </c>
      <c r="W40" s="750">
        <v>22</v>
      </c>
      <c r="X40" s="750">
        <v>23</v>
      </c>
      <c r="Y40" s="750">
        <v>24</v>
      </c>
      <c r="Z40" s="750">
        <v>25</v>
      </c>
      <c r="AA40" s="750">
        <v>26</v>
      </c>
      <c r="AB40" s="750">
        <v>27</v>
      </c>
      <c r="AC40" s="750">
        <v>28</v>
      </c>
      <c r="AD40" s="750">
        <v>29</v>
      </c>
      <c r="AE40" s="750">
        <v>30</v>
      </c>
      <c r="AF40" s="750">
        <v>31</v>
      </c>
      <c r="AG40" s="750">
        <v>32</v>
      </c>
      <c r="AH40" s="752">
        <v>33</v>
      </c>
      <c r="AI40" s="752">
        <v>34</v>
      </c>
      <c r="AJ40" s="752">
        <v>35</v>
      </c>
      <c r="AK40" s="752">
        <v>36</v>
      </c>
      <c r="AL40" s="753">
        <v>37</v>
      </c>
      <c r="AM40" s="752">
        <v>38</v>
      </c>
      <c r="AN40" s="752">
        <v>39</v>
      </c>
      <c r="AO40" s="752">
        <v>40</v>
      </c>
      <c r="AP40" s="752">
        <v>41</v>
      </c>
      <c r="AQ40" s="752">
        <v>42</v>
      </c>
      <c r="AR40" s="752">
        <v>43</v>
      </c>
      <c r="AS40" s="752">
        <v>44</v>
      </c>
      <c r="AT40" s="752">
        <v>45</v>
      </c>
      <c r="AU40" s="752">
        <v>46</v>
      </c>
      <c r="AV40" s="752">
        <v>47</v>
      </c>
      <c r="AW40" s="752">
        <v>48</v>
      </c>
      <c r="AX40" s="752">
        <v>49</v>
      </c>
      <c r="AY40" s="752">
        <v>50</v>
      </c>
      <c r="AZ40" s="752">
        <v>51</v>
      </c>
      <c r="BA40" s="752">
        <v>52</v>
      </c>
      <c r="BB40" s="752">
        <v>53</v>
      </c>
      <c r="BC40" s="752">
        <v>54</v>
      </c>
      <c r="BD40" s="752">
        <v>55</v>
      </c>
      <c r="BE40" s="752">
        <v>56</v>
      </c>
      <c r="BF40" s="752">
        <v>57</v>
      </c>
      <c r="BG40" s="752">
        <v>58</v>
      </c>
      <c r="BH40" s="752">
        <v>59</v>
      </c>
      <c r="BI40" s="752">
        <v>60</v>
      </c>
      <c r="BJ40" s="316"/>
      <c r="BK40" s="316"/>
      <c r="BL40" s="316"/>
      <c r="BN40" s="262">
        <f t="shared" si="1"/>
        <v>36</v>
      </c>
      <c r="BO40" s="823" t="str" cm="1">
        <f t="array" ref="BO40" xml:space="preserve"> INDEX(_xlfn.ANCHORARRAY($D$17), 1, $BN40)</f>
        <v>x</v>
      </c>
      <c r="BP40" s="820" t="str" cm="1">
        <f t="array" ref="BP40" xml:space="preserve"> INDEX(_xlfn.ANCHORARRAY($D$18), 1, $BN40)</f>
        <v>(</v>
      </c>
      <c r="BQ40" s="732" t="str" cm="1">
        <f t="array" ref="BQ40" xml:space="preserve"> INDEX(_xlfn.ANCHORARRAY($D$19), 1, $BN40)</f>
        <v>ㆮ</v>
      </c>
      <c r="BR40" s="824" t="str" cm="1">
        <f t="array" ref="BR40" xml:space="preserve"> INDEX(_xlfn.ANCHORARRAY($D$20), 1, $BN40)</f>
        <v>nai</v>
      </c>
      <c r="BS40" s="825" t="str" cm="1">
        <f t="array" ref="BS40" xml:space="preserve"> INDEX(注音編碼對照表[聲韻調], MATCH(TRUE, EXACT($BP40, 注音編碼對照表[鍵盤按鍵]), 0))</f>
        <v>韻</v>
      </c>
      <c r="BT40" s="826">
        <f t="shared" si="2"/>
        <v>3</v>
      </c>
      <c r="BU40" s="195"/>
      <c r="BV40" s="549" t="str">
        <f t="shared" si="3"/>
        <v xml:space="preserve">    "(": { commit: "ㆮ" }  # /nai/ ==&gt; x</v>
      </c>
      <c r="BW40" s="263"/>
      <c r="BX40" s="262">
        <f t="shared" si="4"/>
        <v>36</v>
      </c>
      <c r="BY40" s="801"/>
      <c r="BZ40" s="734"/>
      <c r="CA40" s="732"/>
      <c r="CB40" s="113"/>
      <c r="CC40" s="733"/>
      <c r="CD40" s="735"/>
      <c r="CE40" s="195"/>
      <c r="CG40" s="262">
        <f t="shared" si="5"/>
        <v>36</v>
      </c>
      <c r="CH40" s="801"/>
      <c r="CI40" s="734"/>
      <c r="CJ40" s="732"/>
      <c r="CK40" s="113"/>
      <c r="CL40" s="733"/>
      <c r="CM40" s="735"/>
      <c r="CN40" s="195"/>
      <c r="CP40" s="262">
        <f t="shared" si="7"/>
        <v>36</v>
      </c>
      <c r="CQ40" s="801"/>
      <c r="CR40" s="734"/>
      <c r="CS40" s="732"/>
      <c r="CT40" s="113"/>
      <c r="CU40" s="733"/>
      <c r="CV40" s="735"/>
      <c r="CW40" s="195"/>
      <c r="CX40" s="698" t="str">
        <f t="shared" si="39"/>
        <v/>
      </c>
      <c r="CY40" s="262">
        <f t="shared" si="9"/>
        <v>36</v>
      </c>
      <c r="CZ40" s="801"/>
      <c r="DA40" s="734"/>
      <c r="DB40" s="732"/>
      <c r="DC40" s="113"/>
      <c r="DD40" s="733"/>
      <c r="DE40" s="735"/>
      <c r="DF40" s="195"/>
    </row>
    <row r="41" spans="1:111" ht="45" customHeight="1">
      <c r="A41" s="195"/>
      <c r="B41" s="767" t="str">
        <f xml:space="preserve"> MID($E$35, B$40, 1)</f>
        <v>m</v>
      </c>
      <c r="C41" s="767" t="str">
        <f t="shared" ref="C41:BI41" si="40" xml:space="preserve"> MID($E$35, C$40, 1)</f>
        <v>B</v>
      </c>
      <c r="D41" s="767" t="str">
        <f t="shared" si="40"/>
        <v>b</v>
      </c>
      <c r="E41" s="767" t="str">
        <f t="shared" si="40"/>
        <v>p</v>
      </c>
      <c r="F41" s="767" t="str">
        <f t="shared" si="40"/>
        <v>n</v>
      </c>
      <c r="G41" s="767" t="str">
        <f t="shared" si="40"/>
        <v>d</v>
      </c>
      <c r="H41" s="767" t="str">
        <f t="shared" si="40"/>
        <v>t</v>
      </c>
      <c r="I41" s="767" t="str">
        <f t="shared" si="40"/>
        <v>l</v>
      </c>
      <c r="J41" s="767" t="str">
        <f t="shared" si="40"/>
        <v>ŋ</v>
      </c>
      <c r="K41" s="767" t="str">
        <f t="shared" si="40"/>
        <v>v</v>
      </c>
      <c r="L41" s="767" t="str">
        <f t="shared" si="40"/>
        <v>g</v>
      </c>
      <c r="M41" s="767" t="str">
        <f t="shared" si="40"/>
        <v>k</v>
      </c>
      <c r="N41" s="767" t="str">
        <f t="shared" si="40"/>
        <v>Z</v>
      </c>
      <c r="O41" s="767" t="str">
        <f t="shared" si="40"/>
        <v>z</v>
      </c>
      <c r="P41" s="767" t="str">
        <f t="shared" si="40"/>
        <v>c</v>
      </c>
      <c r="Q41" s="767" t="str">
        <f t="shared" si="40"/>
        <v>s</v>
      </c>
      <c r="R41" s="767" t="str">
        <f t="shared" si="40"/>
        <v>J</v>
      </c>
      <c r="S41" s="767" t="str">
        <f t="shared" si="40"/>
        <v>j</v>
      </c>
      <c r="T41" s="767" t="str">
        <f t="shared" si="40"/>
        <v>C</v>
      </c>
      <c r="U41" s="767" t="str">
        <f t="shared" si="40"/>
        <v>S</v>
      </c>
      <c r="V41" s="767" t="str">
        <f t="shared" si="40"/>
        <v>h</v>
      </c>
      <c r="W41" s="767" t="str">
        <f t="shared" si="40"/>
        <v>a</v>
      </c>
      <c r="X41" s="767" t="str">
        <f t="shared" si="40"/>
        <v>i</v>
      </c>
      <c r="Y41" s="767" t="str">
        <f t="shared" si="40"/>
        <v>w</v>
      </c>
      <c r="Z41" s="767" t="str">
        <f t="shared" si="40"/>
        <v>u</v>
      </c>
      <c r="AA41" s="767" t="str">
        <f t="shared" si="40"/>
        <v>e</v>
      </c>
      <c r="AB41" s="767" t="str">
        <f t="shared" si="40"/>
        <v>O</v>
      </c>
      <c r="AC41" s="767" t="str">
        <f t="shared" si="40"/>
        <v>o</v>
      </c>
      <c r="AD41" s="767" t="str">
        <f t="shared" si="40"/>
        <v>I</v>
      </c>
      <c r="AE41" s="767" t="str">
        <f t="shared" si="40"/>
        <v>U</v>
      </c>
      <c r="AF41" s="767" t="str">
        <f t="shared" si="40"/>
        <v>R</v>
      </c>
      <c r="AG41" s="767" t="str">
        <f t="shared" si="40"/>
        <v>D</v>
      </c>
      <c r="AH41" s="767" t="str">
        <f t="shared" si="40"/>
        <v>X</v>
      </c>
      <c r="AI41" s="767" t="str">
        <f t="shared" si="40"/>
        <v>E</v>
      </c>
      <c r="AJ41" s="767" t="str">
        <f t="shared" si="40"/>
        <v>Q</v>
      </c>
      <c r="AK41" s="767" t="str">
        <f t="shared" si="40"/>
        <v>x</v>
      </c>
      <c r="AL41" s="767" t="str">
        <f t="shared" si="40"/>
        <v>y</v>
      </c>
      <c r="AM41" s="767" t="str">
        <f t="shared" si="40"/>
        <v>M</v>
      </c>
      <c r="AN41" s="767" t="str">
        <f t="shared" si="40"/>
        <v>N</v>
      </c>
      <c r="AO41" s="767" t="str">
        <f t="shared" si="40"/>
        <v>G</v>
      </c>
      <c r="AP41" s="767" t="str">
        <f t="shared" si="40"/>
        <v>Y</v>
      </c>
      <c r="AQ41" s="767" t="str">
        <f t="shared" si="40"/>
        <v>@</v>
      </c>
      <c r="AR41" s="767" t="str">
        <f t="shared" si="40"/>
        <v>A</v>
      </c>
      <c r="AS41" s="767" t="str">
        <f t="shared" si="40"/>
        <v>W</v>
      </c>
      <c r="AT41" s="767" t="str">
        <f t="shared" si="40"/>
        <v>H</v>
      </c>
      <c r="AU41" s="767" t="str">
        <f t="shared" si="40"/>
        <v>P</v>
      </c>
      <c r="AV41" s="767" t="str">
        <f t="shared" si="40"/>
        <v>T</v>
      </c>
      <c r="AW41" s="767" t="str">
        <f t="shared" si="40"/>
        <v>K</v>
      </c>
      <c r="AX41" s="767" t="str">
        <f t="shared" si="40"/>
        <v>V</v>
      </c>
      <c r="AY41" s="767" t="str">
        <f t="shared" si="40"/>
        <v>1</v>
      </c>
      <c r="AZ41" s="767" t="str">
        <f t="shared" si="40"/>
        <v>7</v>
      </c>
      <c r="BA41" s="767" t="str">
        <f t="shared" si="40"/>
        <v>6</v>
      </c>
      <c r="BB41" s="767" t="str">
        <f t="shared" si="40"/>
        <v>5</v>
      </c>
      <c r="BC41" s="767" t="str">
        <f t="shared" si="40"/>
        <v>3</v>
      </c>
      <c r="BD41" s="767" t="str">
        <f t="shared" si="40"/>
        <v>2</v>
      </c>
      <c r="BE41" s="767" t="str">
        <f t="shared" si="40"/>
        <v>8</v>
      </c>
      <c r="BF41" s="767" t="str">
        <f t="shared" si="40"/>
        <v>0</v>
      </c>
      <c r="BG41" s="767" t="str">
        <f t="shared" si="40"/>
        <v>9</v>
      </c>
      <c r="BH41" s="767" t="str">
        <f t="shared" si="40"/>
        <v>L</v>
      </c>
      <c r="BI41" s="767" t="str">
        <f t="shared" si="40"/>
        <v>*</v>
      </c>
      <c r="BJ41" s="316"/>
      <c r="BK41" s="316"/>
      <c r="BL41" s="316"/>
      <c r="BN41" s="262">
        <f t="shared" si="1"/>
        <v>37</v>
      </c>
      <c r="BO41" s="823" t="str" cm="1">
        <f t="array" ref="BO41" xml:space="preserve"> INDEX(_xlfn.ANCHORARRAY($D$17), 1, $BN41)</f>
        <v>y</v>
      </c>
      <c r="BP41" s="820" t="str" cm="1">
        <f t="array" ref="BP41" xml:space="preserve"> INDEX(_xlfn.ANCHORARRAY($D$18), 1, $BN41)</f>
        <v>L</v>
      </c>
      <c r="BQ41" s="732" t="str" cm="1">
        <f t="array" ref="BQ41" xml:space="preserve"> INDEX(_xlfn.ANCHORARRAY($D$19), 1, $BN41)</f>
        <v>ㆯ</v>
      </c>
      <c r="BR41" s="824" t="str" cm="1">
        <f t="array" ref="BR41" xml:space="preserve"> INDEX(_xlfn.ANCHORARRAY($D$20), 1, $BN41)</f>
        <v>nau</v>
      </c>
      <c r="BS41" s="825" t="str" cm="1">
        <f t="array" ref="BS41" xml:space="preserve"> INDEX(注音編碼對照表[聲韻調], MATCH(TRUE, EXACT($BP41, 注音編碼對照表[鍵盤按鍵]), 0))</f>
        <v>韻</v>
      </c>
      <c r="BT41" s="826">
        <f t="shared" si="2"/>
        <v>3</v>
      </c>
      <c r="BU41" s="195"/>
      <c r="BV41" s="549" t="str">
        <f t="shared" si="3"/>
        <v xml:space="preserve">    "L": { commit: "ㆯ" }  # /nau/ ==&gt; y</v>
      </c>
      <c r="BW41" s="263"/>
      <c r="BX41" s="262">
        <f t="shared" si="4"/>
        <v>37</v>
      </c>
      <c r="BY41" s="801"/>
      <c r="BZ41" s="734"/>
      <c r="CA41" s="732"/>
      <c r="CB41" s="113"/>
      <c r="CC41" s="733"/>
      <c r="CD41" s="735"/>
      <c r="CG41" s="262">
        <f t="shared" si="5"/>
        <v>37</v>
      </c>
      <c r="CH41" s="801"/>
      <c r="CI41" s="734"/>
      <c r="CJ41" s="732"/>
      <c r="CK41" s="113"/>
      <c r="CL41" s="733"/>
      <c r="CM41" s="735"/>
      <c r="CP41" s="262">
        <f t="shared" si="7"/>
        <v>37</v>
      </c>
      <c r="CQ41" s="801"/>
      <c r="CR41" s="734"/>
      <c r="CS41" s="732"/>
      <c r="CT41" s="113"/>
      <c r="CU41" s="733"/>
      <c r="CV41" s="735"/>
      <c r="CX41" s="698" t="str">
        <f t="shared" si="39"/>
        <v/>
      </c>
      <c r="CY41" s="262">
        <f t="shared" si="9"/>
        <v>37</v>
      </c>
      <c r="CZ41" s="801"/>
      <c r="DA41" s="734"/>
      <c r="DB41" s="732"/>
      <c r="DC41" s="113"/>
      <c r="DD41" s="733"/>
      <c r="DE41" s="735"/>
    </row>
    <row r="42" spans="1:111" ht="45" customHeight="1">
      <c r="A42" s="195"/>
      <c r="B42" s="764" t="str">
        <f xml:space="preserve"> MID($E$36, B$40, 1)</f>
        <v>a</v>
      </c>
      <c r="C42" s="764" t="str">
        <f t="shared" ref="C42:BI42" si="41" xml:space="preserve"> MID($E$36, C$40, 1)</f>
        <v>!</v>
      </c>
      <c r="D42" s="764" t="str">
        <f t="shared" si="41"/>
        <v>1</v>
      </c>
      <c r="E42" s="764" t="str">
        <f t="shared" si="41"/>
        <v>q</v>
      </c>
      <c r="F42" s="764" t="str">
        <f t="shared" si="41"/>
        <v>s</v>
      </c>
      <c r="G42" s="764" t="str">
        <f t="shared" si="41"/>
        <v>2</v>
      </c>
      <c r="H42" s="764" t="str">
        <f t="shared" si="41"/>
        <v>w</v>
      </c>
      <c r="I42" s="764" t="str">
        <f t="shared" si="41"/>
        <v>x</v>
      </c>
      <c r="J42" s="764" t="str">
        <f t="shared" si="41"/>
        <v>N</v>
      </c>
      <c r="K42" s="764" t="str">
        <f t="shared" si="41"/>
        <v>E</v>
      </c>
      <c r="L42" s="764" t="str">
        <f t="shared" si="41"/>
        <v>e</v>
      </c>
      <c r="M42" s="764" t="str">
        <f t="shared" si="41"/>
        <v>d</v>
      </c>
      <c r="N42" s="764" t="str">
        <f t="shared" si="41"/>
        <v>Y</v>
      </c>
      <c r="O42" s="764" t="str">
        <f t="shared" si="41"/>
        <v>y</v>
      </c>
      <c r="P42" s="764" t="str">
        <f t="shared" si="41"/>
        <v>h</v>
      </c>
      <c r="Q42" s="764" t="str">
        <f t="shared" si="41"/>
        <v>n</v>
      </c>
      <c r="R42" s="764" t="str">
        <f t="shared" si="41"/>
        <v>R</v>
      </c>
      <c r="S42" s="764" t="str">
        <f t="shared" si="41"/>
        <v>r</v>
      </c>
      <c r="T42" s="764" t="str">
        <f t="shared" si="41"/>
        <v>f</v>
      </c>
      <c r="U42" s="764" t="str">
        <f t="shared" si="41"/>
        <v>v</v>
      </c>
      <c r="V42" s="764" t="str">
        <f t="shared" si="41"/>
        <v>c</v>
      </c>
      <c r="W42" s="764" t="str">
        <f t="shared" si="41"/>
        <v>8</v>
      </c>
      <c r="X42" s="764" t="str">
        <f t="shared" si="41"/>
        <v>u</v>
      </c>
      <c r="Y42" s="764" t="str">
        <f t="shared" si="41"/>
        <v>K</v>
      </c>
      <c r="Z42" s="764" t="str">
        <f t="shared" si="41"/>
        <v>j</v>
      </c>
      <c r="AA42" s="764" t="str">
        <f t="shared" si="41"/>
        <v>,</v>
      </c>
      <c r="AB42" s="764" t="str">
        <f t="shared" si="41"/>
        <v>i</v>
      </c>
      <c r="AC42" s="764" t="str">
        <f t="shared" si="41"/>
        <v>k</v>
      </c>
      <c r="AD42" s="764" t="str">
        <f t="shared" si="41"/>
        <v>9</v>
      </c>
      <c r="AE42" s="764" t="str">
        <f t="shared" si="41"/>
        <v>l</v>
      </c>
      <c r="AF42" s="764" t="str">
        <f t="shared" si="41"/>
        <v>*</v>
      </c>
      <c r="AG42" s="764" t="str">
        <f t="shared" si="41"/>
        <v>U</v>
      </c>
      <c r="AH42" s="764" t="str">
        <f t="shared" si="41"/>
        <v>J</v>
      </c>
      <c r="AI42" s="764" t="str">
        <f t="shared" si="41"/>
        <v>&lt;</v>
      </c>
      <c r="AJ42" s="764" t="str">
        <f t="shared" si="41"/>
        <v>I</v>
      </c>
      <c r="AK42" s="764" t="str">
        <f t="shared" si="41"/>
        <v>(</v>
      </c>
      <c r="AL42" s="764" t="str">
        <f t="shared" si="41"/>
        <v>L</v>
      </c>
      <c r="AM42" s="764" t="str">
        <f t="shared" si="41"/>
        <v>m</v>
      </c>
      <c r="AN42" s="764" t="str">
        <f t="shared" si="41"/>
        <v>p</v>
      </c>
      <c r="AO42" s="764" t="str">
        <f t="shared" si="41"/>
        <v>/</v>
      </c>
      <c r="AP42" s="764" t="str">
        <f t="shared" si="41"/>
        <v>M</v>
      </c>
      <c r="AQ42" s="764" t="str">
        <f t="shared" si="41"/>
        <v>0</v>
      </c>
      <c r="AR42" s="764" t="str">
        <f t="shared" si="41"/>
        <v>;</v>
      </c>
      <c r="AS42" s="764" t="str">
        <f t="shared" si="41"/>
        <v>O</v>
      </c>
      <c r="AT42" s="764" t="str">
        <f t="shared" si="41"/>
        <v>o</v>
      </c>
      <c r="AU42" s="764" t="str">
        <f t="shared" si="41"/>
        <v>b</v>
      </c>
      <c r="AV42" s="764" t="str">
        <f t="shared" si="41"/>
        <v>t</v>
      </c>
      <c r="AW42" s="764" t="str">
        <f t="shared" si="41"/>
        <v>g</v>
      </c>
      <c r="AX42" s="764" t="str">
        <f t="shared" si="41"/>
        <v>z</v>
      </c>
      <c r="AY42" s="764" t="str">
        <f t="shared" si="41"/>
        <v>:</v>
      </c>
      <c r="AZ42" s="764" t="str">
        <f t="shared" si="41"/>
        <v>[</v>
      </c>
      <c r="BA42" s="764" t="str">
        <f t="shared" si="41"/>
        <v>5</v>
      </c>
      <c r="BB42" s="764" t="str">
        <f t="shared" si="41"/>
        <v>3</v>
      </c>
      <c r="BC42" s="764" t="str">
        <f t="shared" si="41"/>
        <v>4</v>
      </c>
      <c r="BD42" s="764" t="str">
        <f t="shared" si="41"/>
        <v>6</v>
      </c>
      <c r="BE42" s="764" t="str">
        <f t="shared" si="41"/>
        <v>]</v>
      </c>
      <c r="BF42" s="764" t="str">
        <f t="shared" si="41"/>
        <v>7</v>
      </c>
      <c r="BG42" s="764" t="str">
        <f t="shared" si="41"/>
        <v>.</v>
      </c>
      <c r="BH42" s="764" t="str">
        <f t="shared" si="41"/>
        <v>?</v>
      </c>
      <c r="BI42" s="764" t="str">
        <f t="shared" si="41"/>
        <v>-</v>
      </c>
      <c r="BJ42" s="316"/>
      <c r="BK42" s="316"/>
      <c r="BL42" s="316"/>
      <c r="BN42" s="262">
        <f t="shared" si="1"/>
        <v>38</v>
      </c>
      <c r="BO42" s="823" t="str" cm="1">
        <f t="array" ref="BO42" xml:space="preserve"> INDEX(_xlfn.ANCHORARRAY($D$17), 1, $BN42)</f>
        <v>M</v>
      </c>
      <c r="BP42" s="820" t="str" cm="1">
        <f t="array" ref="BP42" xml:space="preserve"> INDEX(_xlfn.ANCHORARRAY($D$18), 1, $BN42)</f>
        <v>m</v>
      </c>
      <c r="BQ42" s="732" t="str" cm="1">
        <f t="array" ref="BQ42" xml:space="preserve"> INDEX(_xlfn.ANCHORARRAY($D$19), 1, $BN42)</f>
        <v>ㆬ</v>
      </c>
      <c r="BR42" s="824" t="str" cm="1">
        <f t="array" ref="BR42" xml:space="preserve"> INDEX(_xlfn.ANCHORARRAY($D$20), 1, $BN42)</f>
        <v>m</v>
      </c>
      <c r="BS42" s="825" t="str" cm="1">
        <f t="array" ref="BS42" xml:space="preserve"> INDEX(注音編碼對照表[聲韻調], MATCH(TRUE, EXACT($BP42, 注音編碼對照表[鍵盤按鍵]), 0))</f>
        <v>韻</v>
      </c>
      <c r="BT42" s="826">
        <f t="shared" si="2"/>
        <v>1</v>
      </c>
      <c r="BV42" s="549" t="str">
        <f t="shared" si="3"/>
        <v xml:space="preserve">    "m": { commit: "ㆬ" }  # /m/ ==&gt; M</v>
      </c>
      <c r="BW42" s="263"/>
      <c r="BX42" s="262">
        <f t="shared" si="4"/>
        <v>38</v>
      </c>
      <c r="BY42" s="801"/>
      <c r="BZ42" s="734"/>
      <c r="CA42" s="732"/>
      <c r="CB42" s="113"/>
      <c r="CC42" s="733"/>
      <c r="CD42" s="735"/>
      <c r="CG42" s="262">
        <f t="shared" si="5"/>
        <v>38</v>
      </c>
      <c r="CH42" s="801"/>
      <c r="CI42" s="734"/>
      <c r="CJ42" s="732"/>
      <c r="CK42" s="113"/>
      <c r="CL42" s="733"/>
      <c r="CM42" s="735"/>
      <c r="CP42" s="262">
        <f t="shared" si="7"/>
        <v>38</v>
      </c>
      <c r="CQ42" s="801"/>
      <c r="CR42" s="734"/>
      <c r="CS42" s="732"/>
      <c r="CT42" s="113"/>
      <c r="CU42" s="733"/>
      <c r="CV42" s="735"/>
      <c r="CX42" s="698" t="str">
        <f t="shared" si="39"/>
        <v/>
      </c>
      <c r="CY42" s="262">
        <f t="shared" si="9"/>
        <v>38</v>
      </c>
      <c r="CZ42" s="801"/>
      <c r="DA42" s="734"/>
      <c r="DB42" s="732"/>
      <c r="DC42" s="113"/>
      <c r="DD42" s="733"/>
      <c r="DE42" s="735"/>
    </row>
    <row r="43" spans="1:111" ht="45" customHeight="1">
      <c r="A43" s="195"/>
      <c r="BC43" s="290"/>
      <c r="BD43" s="290"/>
      <c r="BE43" s="290"/>
      <c r="BF43" s="290"/>
      <c r="BG43" s="290"/>
      <c r="BH43" s="290"/>
      <c r="BI43" s="290"/>
      <c r="BJ43" s="316"/>
      <c r="BK43" s="316"/>
      <c r="BL43" s="316"/>
      <c r="BN43" s="262">
        <f t="shared" si="1"/>
        <v>39</v>
      </c>
      <c r="BO43" s="823" t="str" cm="1">
        <f t="array" ref="BO43" xml:space="preserve"> INDEX(_xlfn.ANCHORARRAY($D$17), 1, $BN43)</f>
        <v>N</v>
      </c>
      <c r="BP43" s="820" t="str" cm="1">
        <f t="array" ref="BP43" xml:space="preserve"> INDEX(_xlfn.ANCHORARRAY($D$18), 1, $BN43)</f>
        <v>p</v>
      </c>
      <c r="BQ43" s="732" t="str" cm="1">
        <f t="array" ref="BQ43" xml:space="preserve"> INDEX(_xlfn.ANCHORARRAY($D$19), 1, $BN43)</f>
        <v>ㄣ</v>
      </c>
      <c r="BR43" s="824" t="str" cm="1">
        <f t="array" ref="BR43" xml:space="preserve"> INDEX(_xlfn.ANCHORARRAY($D$20), 1, $BN43)</f>
        <v>n</v>
      </c>
      <c r="BS43" s="825" t="str" cm="1">
        <f t="array" ref="BS43" xml:space="preserve"> INDEX(注音編碼對照表[聲韻調], MATCH(TRUE, EXACT($BP43, 注音編碼對照表[鍵盤按鍵]), 0))</f>
        <v>韻</v>
      </c>
      <c r="BT43" s="826">
        <f t="shared" si="2"/>
        <v>1</v>
      </c>
      <c r="BV43" s="549" t="str">
        <f t="shared" si="3"/>
        <v xml:space="preserve">    "p": { commit: "ㄣ" }  # /n/ ==&gt; N</v>
      </c>
      <c r="BW43" s="263"/>
      <c r="BX43" s="262">
        <f t="shared" si="4"/>
        <v>39</v>
      </c>
      <c r="BY43" s="801"/>
      <c r="BZ43" s="734"/>
      <c r="CA43" s="732"/>
      <c r="CB43" s="113"/>
      <c r="CC43" s="733"/>
      <c r="CD43" s="735"/>
      <c r="CG43" s="262">
        <f t="shared" si="5"/>
        <v>39</v>
      </c>
      <c r="CH43" s="801"/>
      <c r="CI43" s="734"/>
      <c r="CJ43" s="732"/>
      <c r="CK43" s="113"/>
      <c r="CL43" s="733"/>
      <c r="CM43" s="735"/>
      <c r="CP43" s="262">
        <f t="shared" si="7"/>
        <v>39</v>
      </c>
      <c r="CQ43" s="801"/>
      <c r="CR43" s="734"/>
      <c r="CS43" s="732"/>
      <c r="CT43" s="113"/>
      <c r="CU43" s="733"/>
      <c r="CV43" s="735"/>
      <c r="CX43" s="698" t="str">
        <f t="shared" si="39"/>
        <v/>
      </c>
      <c r="CY43" s="262">
        <f t="shared" si="9"/>
        <v>39</v>
      </c>
      <c r="CZ43" s="801"/>
      <c r="DA43" s="734"/>
      <c r="DB43" s="732"/>
      <c r="DC43" s="113"/>
      <c r="DD43" s="733"/>
      <c r="DE43" s="735"/>
    </row>
    <row r="44" spans="1:111" ht="45" customHeight="1">
      <c r="A44" s="249"/>
      <c r="B44" s="290"/>
      <c r="C44" s="290"/>
      <c r="D44" s="290"/>
      <c r="E44" s="290"/>
      <c r="F44" s="290"/>
      <c r="G44" s="290"/>
      <c r="H44" s="290"/>
      <c r="I44" s="290"/>
      <c r="J44" s="290"/>
      <c r="K44" s="290"/>
      <c r="L44" s="290"/>
      <c r="M44" s="290"/>
      <c r="N44" s="290"/>
      <c r="O44" s="290"/>
      <c r="P44" s="290"/>
      <c r="Q44" s="290"/>
      <c r="R44" s="290"/>
      <c r="S44" s="290"/>
      <c r="T44" s="290"/>
      <c r="U44" s="290"/>
      <c r="V44" s="290"/>
      <c r="W44" s="290"/>
      <c r="X44" s="290"/>
      <c r="Y44" s="290"/>
      <c r="Z44" s="290"/>
      <c r="AA44" s="290"/>
      <c r="AB44" s="290"/>
      <c r="AC44" s="290"/>
      <c r="AD44" s="290"/>
      <c r="AE44" s="290"/>
      <c r="AF44" s="290"/>
      <c r="AG44" s="290"/>
      <c r="AH44" s="290"/>
      <c r="AI44" s="290"/>
      <c r="AJ44" s="290"/>
      <c r="AK44" s="290"/>
      <c r="AL44" s="290"/>
      <c r="AM44" s="290"/>
      <c r="AN44" s="290"/>
      <c r="AO44" s="290"/>
      <c r="AP44" s="290"/>
      <c r="AQ44" s="290"/>
      <c r="AR44" s="290"/>
      <c r="AS44" s="290"/>
      <c r="AT44" s="290"/>
      <c r="AU44" s="290"/>
      <c r="AV44" s="290"/>
      <c r="AW44" s="290"/>
      <c r="AX44" s="290"/>
      <c r="AY44" s="290"/>
      <c r="AZ44" s="290"/>
      <c r="BA44" s="290"/>
      <c r="BB44" s="290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1"/>
        <v>40</v>
      </c>
      <c r="BO44" s="823" t="str" cm="1">
        <f t="array" ref="BO44" xml:space="preserve"> INDEX(_xlfn.ANCHORARRAY($D$17), 1, $BN44)</f>
        <v>G</v>
      </c>
      <c r="BP44" s="820" t="str" cm="1">
        <f t="array" ref="BP44" xml:space="preserve"> INDEX(_xlfn.ANCHORARRAY($D$18), 1, $BN44)</f>
        <v>/</v>
      </c>
      <c r="BQ44" s="732" t="str" cm="1">
        <f t="array" ref="BQ44" xml:space="preserve"> INDEX(_xlfn.ANCHORARRAY($D$19), 1, $BN44)</f>
        <v>ㆭ</v>
      </c>
      <c r="BR44" s="824" t="str" cm="1">
        <f t="array" ref="BR44" xml:space="preserve"> INDEX(_xlfn.ANCHORARRAY($D$20), 1, $BN44)</f>
        <v>ng</v>
      </c>
      <c r="BS44" s="825" t="str" cm="1">
        <f t="array" ref="BS44" xml:space="preserve"> INDEX(注音編碼對照表[聲韻調], MATCH(TRUE, EXACT($BP44, 注音編碼對照表[鍵盤按鍵]), 0))</f>
        <v>韻</v>
      </c>
      <c r="BT44" s="826">
        <f t="shared" si="2"/>
        <v>2</v>
      </c>
      <c r="BV44" s="549" t="str">
        <f t="shared" si="3"/>
        <v xml:space="preserve">    "/": { commit: "ㆭ" }  # /ng/ ==&gt; G</v>
      </c>
      <c r="BW44" s="263"/>
      <c r="BX44" s="262">
        <f t="shared" si="4"/>
        <v>40</v>
      </c>
      <c r="BY44" s="801"/>
      <c r="BZ44" s="734"/>
      <c r="CA44" s="732"/>
      <c r="CB44" s="113"/>
      <c r="CC44" s="733"/>
      <c r="CD44" s="735"/>
      <c r="CG44" s="262">
        <f t="shared" si="5"/>
        <v>40</v>
      </c>
      <c r="CH44" s="801"/>
      <c r="CI44" s="734"/>
      <c r="CJ44" s="732"/>
      <c r="CK44" s="113"/>
      <c r="CL44" s="733"/>
      <c r="CM44" s="735"/>
      <c r="CP44" s="262">
        <f t="shared" si="7"/>
        <v>40</v>
      </c>
      <c r="CQ44" s="801"/>
      <c r="CR44" s="734"/>
      <c r="CS44" s="732"/>
      <c r="CT44" s="113"/>
      <c r="CU44" s="733"/>
      <c r="CV44" s="735"/>
      <c r="CX44" s="698" t="str">
        <f t="shared" si="39"/>
        <v/>
      </c>
      <c r="CY44" s="262">
        <f t="shared" si="9"/>
        <v>40</v>
      </c>
      <c r="CZ44" s="801"/>
      <c r="DA44" s="734"/>
      <c r="DB44" s="732"/>
      <c r="DC44" s="113"/>
      <c r="DD44" s="733"/>
      <c r="DE44" s="735"/>
    </row>
    <row r="45" spans="1:111" ht="45" customHeight="1">
      <c r="B45" s="307" t="s">
        <v>576</v>
      </c>
      <c r="C45" s="293"/>
      <c r="D45" s="293"/>
      <c r="E45" s="293"/>
      <c r="F45" s="293"/>
      <c r="G45" s="293"/>
      <c r="H45" s="293"/>
      <c r="I45" s="293"/>
      <c r="J45" s="293"/>
      <c r="K45" s="293"/>
      <c r="L45" s="293"/>
      <c r="M45" s="293"/>
      <c r="N45" s="293"/>
      <c r="O45" s="293"/>
      <c r="P45" s="293"/>
      <c r="Q45" s="293"/>
      <c r="R45" s="293"/>
      <c r="S45" s="293"/>
      <c r="T45" s="293"/>
      <c r="U45" s="293"/>
      <c r="V45" s="293"/>
      <c r="W45" s="293"/>
      <c r="X45" s="293"/>
      <c r="Y45" s="293"/>
      <c r="Z45" s="293"/>
      <c r="AA45" s="293"/>
      <c r="AB45" s="293"/>
      <c r="AC45" s="293"/>
      <c r="AD45" s="293"/>
      <c r="AE45" s="293"/>
      <c r="AF45" s="293"/>
      <c r="AG45" s="293"/>
      <c r="AH45" s="290"/>
      <c r="AI45" s="290"/>
      <c r="AJ45" s="290"/>
      <c r="AK45" s="290"/>
      <c r="AL45" s="290"/>
      <c r="AM45" s="290"/>
      <c r="AN45" s="290"/>
      <c r="AO45" s="290"/>
      <c r="AP45" s="290"/>
      <c r="AQ45" s="290"/>
      <c r="AR45" s="290"/>
      <c r="AS45" s="290"/>
      <c r="AT45" s="290"/>
      <c r="AU45" s="290"/>
      <c r="AV45" s="290"/>
      <c r="AW45" s="290"/>
      <c r="AX45" s="290"/>
      <c r="AY45" s="290"/>
      <c r="AZ45" s="290"/>
      <c r="BA45" s="290"/>
      <c r="BB45" s="290"/>
      <c r="BC45" s="290"/>
      <c r="BD45" s="290"/>
      <c r="BE45" s="290"/>
      <c r="BF45" s="290"/>
      <c r="BG45" s="290"/>
      <c r="BH45" s="290"/>
      <c r="BI45" s="290"/>
      <c r="BJ45" s="316"/>
      <c r="BK45" s="316"/>
      <c r="BL45" s="316"/>
      <c r="BN45" s="262">
        <f t="shared" si="1"/>
        <v>41</v>
      </c>
      <c r="BO45" s="823" t="str" cm="1">
        <f t="array" ref="BO45" xml:space="preserve"> INDEX(_xlfn.ANCHORARRAY($D$17), 1, $BN45)</f>
        <v>Y</v>
      </c>
      <c r="BP45" s="820" t="str" cm="1">
        <f t="array" ref="BP45" xml:space="preserve"> INDEX(_xlfn.ANCHORARRAY($D$18), 1, $BN45)</f>
        <v>M</v>
      </c>
      <c r="BQ45" s="732" t="str" cm="1">
        <f t="array" ref="BQ45" xml:space="preserve"> INDEX(_xlfn.ANCHORARRAY($D$19), 1, $BN45)</f>
        <v>ㆰ</v>
      </c>
      <c r="BR45" s="824" t="str" cm="1">
        <f t="array" ref="BR45" xml:space="preserve"> INDEX(_xlfn.ANCHORARRAY($D$20), 1, $BN45)</f>
        <v>am</v>
      </c>
      <c r="BS45" s="825" t="str" cm="1">
        <f t="array" ref="BS45" xml:space="preserve"> INDEX(注音編碼對照表[聲韻調], MATCH(TRUE, EXACT($BP45, 注音編碼對照表[鍵盤按鍵]), 0))</f>
        <v>韻</v>
      </c>
      <c r="BT45" s="826">
        <f t="shared" si="2"/>
        <v>2</v>
      </c>
      <c r="BV45" s="549" t="str">
        <f t="shared" si="3"/>
        <v xml:space="preserve">    "M": { commit: "ㆰ" }  # /am/ ==&gt; Y</v>
      </c>
      <c r="BW45" s="263"/>
      <c r="BX45" s="262">
        <f t="shared" si="4"/>
        <v>41</v>
      </c>
      <c r="BY45" s="801"/>
      <c r="BZ45" s="734"/>
      <c r="CA45" s="732"/>
      <c r="CB45" s="113"/>
      <c r="CC45" s="733"/>
      <c r="CD45" s="735"/>
      <c r="CG45" s="262">
        <f t="shared" si="5"/>
        <v>41</v>
      </c>
      <c r="CH45" s="801"/>
      <c r="CI45" s="734"/>
      <c r="CJ45" s="732"/>
      <c r="CK45" s="113"/>
      <c r="CL45" s="733"/>
      <c r="CM45" s="735"/>
      <c r="CP45" s="262">
        <f t="shared" si="7"/>
        <v>41</v>
      </c>
      <c r="CQ45" s="801"/>
      <c r="CR45" s="734"/>
      <c r="CS45" s="732"/>
      <c r="CT45" s="113"/>
      <c r="CU45" s="733"/>
      <c r="CV45" s="735"/>
      <c r="CX45" s="698" t="str">
        <f t="shared" si="39"/>
        <v/>
      </c>
      <c r="CY45" s="262">
        <f t="shared" si="9"/>
        <v>41</v>
      </c>
      <c r="CZ45" s="801"/>
      <c r="DA45" s="734"/>
      <c r="DB45" s="732"/>
      <c r="DC45" s="113"/>
      <c r="DD45" s="733"/>
      <c r="DE45" s="735"/>
    </row>
    <row r="46" spans="1:111" ht="45" customHeight="1">
      <c r="B46" s="293" t="s">
        <v>577</v>
      </c>
      <c r="C46" s="293"/>
      <c r="D46" s="293"/>
      <c r="E46" s="293"/>
      <c r="F46" s="293"/>
      <c r="G46" s="293"/>
      <c r="H46" s="293"/>
      <c r="I46" s="293"/>
      <c r="J46" s="293"/>
      <c r="K46" s="293"/>
      <c r="L46" s="293"/>
      <c r="M46" s="293"/>
      <c r="N46" s="293"/>
      <c r="O46" s="293"/>
      <c r="P46" s="293"/>
      <c r="Q46" s="293"/>
      <c r="R46" s="293"/>
      <c r="S46" s="294"/>
      <c r="T46" s="293"/>
      <c r="U46" s="293"/>
      <c r="V46" s="293"/>
      <c r="W46" s="293"/>
      <c r="X46" s="293"/>
      <c r="Y46" s="293"/>
      <c r="Z46" s="293"/>
      <c r="AA46" s="293"/>
      <c r="AB46" s="293"/>
      <c r="AC46" s="293"/>
      <c r="AD46" s="293"/>
      <c r="AE46" s="293"/>
      <c r="AF46" s="293"/>
      <c r="AG46" s="293"/>
      <c r="AH46" s="290"/>
      <c r="AI46" s="290"/>
      <c r="AJ46" s="290"/>
      <c r="AK46" s="290"/>
      <c r="AL46" s="290"/>
      <c r="AM46" s="195"/>
      <c r="AN46" s="290"/>
      <c r="AO46" s="290"/>
      <c r="AP46" s="290"/>
      <c r="AQ46" s="290"/>
      <c r="AR46" s="290"/>
      <c r="AS46" s="290"/>
      <c r="AT46" s="290"/>
      <c r="AU46" s="290"/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0"/>
      <c r="BG46" s="290"/>
      <c r="BH46" s="290"/>
      <c r="BI46" s="290"/>
      <c r="BJ46" s="316"/>
      <c r="BK46" s="316"/>
      <c r="BL46" s="316"/>
      <c r="BN46" s="262">
        <f t="shared" si="1"/>
        <v>42</v>
      </c>
      <c r="BO46" s="823" t="str" cm="1">
        <f t="array" ref="BO46" xml:space="preserve"> INDEX(_xlfn.ANCHORARRAY($D$17), 1, $BN46)</f>
        <v>@</v>
      </c>
      <c r="BP46" s="820" t="str" cm="1">
        <f t="array" ref="BP46" xml:space="preserve"> INDEX(_xlfn.ANCHORARRAY($D$18), 1, $BN46)</f>
        <v>0</v>
      </c>
      <c r="BQ46" s="732" t="str" cm="1">
        <f t="array" ref="BQ46" xml:space="preserve"> INDEX(_xlfn.ANCHORARRAY($D$19), 1, $BN46)</f>
        <v>ㄢ</v>
      </c>
      <c r="BR46" s="824" t="str" cm="1">
        <f t="array" ref="BR46" xml:space="preserve"> INDEX(_xlfn.ANCHORARRAY($D$20), 1, $BN46)</f>
        <v>an</v>
      </c>
      <c r="BS46" s="825" t="str" cm="1">
        <f t="array" ref="BS46" xml:space="preserve"> INDEX(注音編碼對照表[聲韻調], MATCH(TRUE, EXACT($BP46, 注音編碼對照表[鍵盤按鍵]), 0))</f>
        <v>韻</v>
      </c>
      <c r="BT46" s="826">
        <f t="shared" si="2"/>
        <v>2</v>
      </c>
      <c r="BV46" s="549" t="str">
        <f t="shared" si="3"/>
        <v xml:space="preserve">    "0": { commit: "ㄢ" }  # /an/ ==&gt; @</v>
      </c>
      <c r="BW46" s="263"/>
      <c r="BX46" s="262">
        <f t="shared" si="4"/>
        <v>42</v>
      </c>
      <c r="BY46" s="801"/>
      <c r="BZ46" s="734"/>
      <c r="CA46" s="732"/>
      <c r="CB46" s="113"/>
      <c r="CC46" s="733"/>
      <c r="CD46" s="735"/>
      <c r="CG46" s="262">
        <f t="shared" si="5"/>
        <v>42</v>
      </c>
      <c r="CH46" s="801"/>
      <c r="CI46" s="734"/>
      <c r="CJ46" s="732"/>
      <c r="CK46" s="113"/>
      <c r="CL46" s="733"/>
      <c r="CM46" s="735"/>
      <c r="CP46" s="262">
        <f t="shared" si="7"/>
        <v>42</v>
      </c>
      <c r="CQ46" s="801"/>
      <c r="CR46" s="734"/>
      <c r="CS46" s="732"/>
      <c r="CT46" s="113"/>
      <c r="CU46" s="733"/>
      <c r="CV46" s="735"/>
      <c r="CX46" s="698" t="str">
        <f t="shared" si="39"/>
        <v/>
      </c>
      <c r="CY46" s="262">
        <f t="shared" si="9"/>
        <v>42</v>
      </c>
      <c r="CZ46" s="801"/>
      <c r="DA46" s="734"/>
      <c r="DB46" s="732"/>
      <c r="DC46" s="113"/>
      <c r="DD46" s="733"/>
      <c r="DE46" s="735"/>
    </row>
    <row r="47" spans="1:111" ht="45" customHeight="1">
      <c r="B47" s="308" t="s">
        <v>8736</v>
      </c>
      <c r="C47" s="309"/>
      <c r="D47" s="309">
        <f xml:space="preserve"> LEN(E47)</f>
        <v>60</v>
      </c>
      <c r="E47" s="310" t="str">
        <f xml:space="preserve"> _xlfn.CONCAT(D18:BK18)</f>
        <v>a!1qs2wxNEedYyhnRrfvc8uKj,ik9l*UJ&lt;I(Lmp/M0;Oobtgz:[5346]7.?-</v>
      </c>
      <c r="F47" s="310"/>
      <c r="G47" s="310"/>
      <c r="H47" s="310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0"/>
      <c r="AC47" s="310"/>
      <c r="AD47" s="310"/>
      <c r="AE47" s="310"/>
      <c r="AF47" s="310"/>
      <c r="AG47" s="310"/>
      <c r="AH47" s="310"/>
      <c r="AI47" s="310"/>
      <c r="AJ47" s="310"/>
      <c r="AK47" s="290"/>
      <c r="AL47" s="290"/>
      <c r="AM47" s="290"/>
      <c r="AN47" s="290"/>
      <c r="AO47" s="290"/>
      <c r="AP47" s="290"/>
      <c r="AQ47" s="290"/>
      <c r="AR47" s="290"/>
      <c r="AS47" s="290"/>
      <c r="AT47" s="290"/>
      <c r="AU47" s="290"/>
      <c r="AV47" s="290"/>
      <c r="AW47" s="290"/>
      <c r="AX47" s="290"/>
      <c r="AY47" s="290"/>
      <c r="AZ47" s="290"/>
      <c r="BA47" s="290"/>
      <c r="BB47" s="290"/>
      <c r="BC47" s="290"/>
      <c r="BD47" s="290"/>
      <c r="BE47" s="290"/>
      <c r="BF47" s="290"/>
      <c r="BG47" s="290"/>
      <c r="BH47" s="290"/>
      <c r="BI47" s="290"/>
      <c r="BJ47" s="316"/>
      <c r="BK47" s="316"/>
      <c r="BL47" s="316"/>
      <c r="BN47" s="262">
        <f t="shared" si="1"/>
        <v>43</v>
      </c>
      <c r="BO47" s="823" t="str" cm="1">
        <f t="array" ref="BO47" xml:space="preserve"> INDEX(_xlfn.ANCHORARRAY($D$17), 1, $BN47)</f>
        <v>A</v>
      </c>
      <c r="BP47" s="820" t="str" cm="1">
        <f t="array" ref="BP47" xml:space="preserve"> INDEX(_xlfn.ANCHORARRAY($D$18), 1, $BN47)</f>
        <v>;</v>
      </c>
      <c r="BQ47" s="732" t="str" cm="1">
        <f t="array" ref="BQ47" xml:space="preserve"> INDEX(_xlfn.ANCHORARRAY($D$19), 1, $BN47)</f>
        <v>ㄤ</v>
      </c>
      <c r="BR47" s="824" t="str" cm="1">
        <f t="array" ref="BR47" xml:space="preserve"> INDEX(_xlfn.ANCHORARRAY($D$20), 1, $BN47)</f>
        <v>ang</v>
      </c>
      <c r="BS47" s="825" t="str" cm="1">
        <f t="array" ref="BS47" xml:space="preserve"> INDEX(注音編碼對照表[聲韻調], MATCH(TRUE, EXACT($BP47, 注音編碼對照表[鍵盤按鍵]), 0))</f>
        <v>韻</v>
      </c>
      <c r="BT47" s="826">
        <f t="shared" si="2"/>
        <v>3</v>
      </c>
      <c r="BV47" s="549" t="str">
        <f t="shared" si="3"/>
        <v xml:space="preserve">    ";": { commit: "ㄤ" }  # /ang/ ==&gt; A</v>
      </c>
      <c r="BX47" s="262">
        <f t="shared" si="4"/>
        <v>43</v>
      </c>
      <c r="BY47" s="801"/>
      <c r="BZ47" s="734"/>
      <c r="CA47" s="732"/>
      <c r="CB47" s="113"/>
      <c r="CC47" s="733"/>
      <c r="CD47" s="735"/>
      <c r="CG47" s="262">
        <f t="shared" si="5"/>
        <v>43</v>
      </c>
      <c r="CH47" s="801"/>
      <c r="CI47" s="734"/>
      <c r="CJ47" s="732"/>
      <c r="CK47" s="113"/>
      <c r="CL47" s="733"/>
      <c r="CM47" s="735"/>
      <c r="CP47" s="262">
        <f t="shared" si="7"/>
        <v>43</v>
      </c>
      <c r="CQ47" s="801"/>
      <c r="CR47" s="734"/>
      <c r="CS47" s="732"/>
      <c r="CT47" s="113"/>
      <c r="CU47" s="733"/>
      <c r="CV47" s="735"/>
      <c r="CX47" s="698" t="str">
        <f t="shared" si="39"/>
        <v/>
      </c>
      <c r="CY47" s="262">
        <f t="shared" si="9"/>
        <v>43</v>
      </c>
      <c r="CZ47" s="801"/>
      <c r="DA47" s="734"/>
      <c r="DB47" s="732"/>
      <c r="DC47" s="113"/>
      <c r="DD47" s="733"/>
      <c r="DE47" s="735"/>
    </row>
    <row r="48" spans="1:111" ht="45" customHeight="1">
      <c r="B48" s="724" t="s">
        <v>8754</v>
      </c>
      <c r="C48" s="312"/>
      <c r="D48" s="312">
        <f>LEN(E48)</f>
        <v>60</v>
      </c>
      <c r="E48" s="311" t="str">
        <f xml:space="preserve"> _xlfn.CONCAT(D19:BK19)</f>
        <v>ㄇㆠㄅㄆㄋㄉㄊㄌㄫㆣㄍㄎㆡㄗㄘㄙㆢㄐㄑㄒㄏㄚㄧㆨㄨㆤㆦㄜㄞㄠㆩㆪㆫㆥㆧㆮㆯㆬㄣㆭㆰㄢㄤㆱㆲㆴㆵㆻㆷˉˉ^ˋˇˊˊ˙入ㄥñ</v>
      </c>
      <c r="F48" s="311"/>
      <c r="G48" s="311"/>
      <c r="H48" s="311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1"/>
      <c r="AC48" s="311"/>
      <c r="AD48" s="311"/>
      <c r="AE48" s="311"/>
      <c r="AF48" s="311"/>
      <c r="AG48" s="311"/>
      <c r="AH48" s="311"/>
      <c r="AI48" s="311"/>
      <c r="AJ48" s="311"/>
      <c r="AK48" s="290"/>
      <c r="AL48" s="290"/>
      <c r="AM48" s="290"/>
      <c r="AN48" s="290"/>
      <c r="AO48" s="290"/>
      <c r="AP48" s="290"/>
      <c r="AQ48" s="290"/>
      <c r="AR48" s="290"/>
      <c r="AS48" s="290"/>
      <c r="AT48" s="290"/>
      <c r="AU48" s="290"/>
      <c r="AV48" s="290"/>
      <c r="AW48" s="290"/>
      <c r="AX48" s="290"/>
      <c r="AY48" s="290"/>
      <c r="AZ48" s="290"/>
      <c r="BA48" s="290"/>
      <c r="BB48" s="290"/>
      <c r="BC48" s="290"/>
      <c r="BD48" s="290"/>
      <c r="BE48" s="290"/>
      <c r="BF48" s="290"/>
      <c r="BG48" s="290"/>
      <c r="BH48" s="290"/>
      <c r="BI48" s="290"/>
      <c r="BJ48" s="316"/>
      <c r="BK48" s="316"/>
      <c r="BL48" s="316"/>
      <c r="BN48" s="262">
        <f t="shared" si="1"/>
        <v>44</v>
      </c>
      <c r="BO48" s="823" t="str" cm="1">
        <f t="array" ref="BO48" xml:space="preserve"> INDEX(_xlfn.ANCHORARRAY($D$17), 1, $BN48)</f>
        <v>W</v>
      </c>
      <c r="BP48" s="820" t="str" cm="1">
        <f t="array" ref="BP48" xml:space="preserve"> INDEX(_xlfn.ANCHORARRAY($D$18), 1, $BN48)</f>
        <v>O</v>
      </c>
      <c r="BQ48" s="732" t="str" cm="1">
        <f t="array" ref="BQ48" xml:space="preserve"> INDEX(_xlfn.ANCHORARRAY($D$19), 1, $BN48)</f>
        <v>ㆱ</v>
      </c>
      <c r="BR48" s="824" t="str" cm="1">
        <f t="array" ref="BR48" xml:space="preserve"> INDEX(_xlfn.ANCHORARRAY($D$20), 1, $BN48)</f>
        <v>om</v>
      </c>
      <c r="BS48" s="825" t="str" cm="1">
        <f t="array" ref="BS48" xml:space="preserve"> INDEX(注音編碼對照表[聲韻調], MATCH(TRUE, EXACT($BP48, 注音編碼對照表[鍵盤按鍵]), 0))</f>
        <v>韻</v>
      </c>
      <c r="BT48" s="826">
        <f t="shared" si="2"/>
        <v>2</v>
      </c>
      <c r="BV48" s="549" t="str">
        <f t="shared" si="3"/>
        <v xml:space="preserve">    "O": { commit: "ㆱ" }  # /om/ ==&gt; W</v>
      </c>
      <c r="BX48" s="262">
        <f t="shared" si="4"/>
        <v>44</v>
      </c>
      <c r="BY48" s="801"/>
      <c r="BZ48" s="734"/>
      <c r="CA48" s="732"/>
      <c r="CB48" s="113"/>
      <c r="CC48" s="733"/>
      <c r="CD48" s="735"/>
      <c r="CG48" s="262">
        <f t="shared" si="5"/>
        <v>44</v>
      </c>
      <c r="CH48" s="801"/>
      <c r="CI48" s="734"/>
      <c r="CJ48" s="732"/>
      <c r="CK48" s="113"/>
      <c r="CL48" s="733"/>
      <c r="CM48" s="735"/>
      <c r="CP48" s="262">
        <f t="shared" si="7"/>
        <v>44</v>
      </c>
      <c r="CQ48" s="801"/>
      <c r="CR48" s="734"/>
      <c r="CS48" s="732"/>
      <c r="CT48" s="113"/>
      <c r="CU48" s="733"/>
      <c r="CV48" s="735"/>
      <c r="CX48" s="698" t="str">
        <f t="shared" si="39"/>
        <v/>
      </c>
      <c r="CY48" s="262">
        <f t="shared" si="9"/>
        <v>44</v>
      </c>
      <c r="CZ48" s="801"/>
      <c r="DA48" s="734"/>
      <c r="DB48" s="732"/>
      <c r="DC48" s="113"/>
      <c r="DD48" s="733"/>
      <c r="DE48" s="735"/>
    </row>
    <row r="49" spans="1:109" ht="45" customHeight="1">
      <c r="B49" s="303" t="str">
        <f xml:space="preserve"> "    - xlit|" &amp; E47 &amp; "|" &amp; E48 &amp; "|"</f>
        <v xml:space="preserve">    - xlit|a!1qs2wxNEedYyhnRrfvc8uKj,ik9l*UJ&lt;I(Lmp/M0;Oobtgz:[5346]7.?-|ㄇㆠㄅㄆㄋㄉㄊㄌㄫㆣㄍㄎㆡㄗㄘㄙㆢㄐㄑㄒㄏㄚㄧㆨㄨㆤㆦㄜㄞㄠㆩㆪㆫㆥㆧㆮㆯㆬㄣㆭㆰㄢㄤㆱㆲㆴㆵㆻㆷˉˉ^ˋˇˊˊ˙入ㄥñ|</v>
      </c>
      <c r="C49" s="314"/>
      <c r="D49" s="314"/>
      <c r="E49" s="314"/>
      <c r="F49" s="314"/>
      <c r="G49" s="314"/>
      <c r="H49" s="314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4"/>
      <c r="AC49" s="314"/>
      <c r="AD49" s="314"/>
      <c r="AE49" s="314"/>
      <c r="AF49" s="314"/>
      <c r="AG49" s="304"/>
      <c r="AH49" s="304"/>
      <c r="AI49" s="304"/>
      <c r="AJ49" s="304"/>
      <c r="AK49" s="290"/>
      <c r="AL49" s="290"/>
      <c r="AM49" s="290"/>
      <c r="AN49" s="290"/>
      <c r="AO49" s="290"/>
      <c r="AP49" s="290"/>
      <c r="AQ49" s="290"/>
      <c r="AR49" s="290"/>
      <c r="AS49" s="290"/>
      <c r="AT49" s="290"/>
      <c r="AU49" s="290"/>
      <c r="AV49" s="290"/>
      <c r="AW49" s="290"/>
      <c r="AX49" s="290"/>
      <c r="AY49" s="290"/>
      <c r="AZ49" s="290"/>
      <c r="BA49" s="290"/>
      <c r="BB49" s="290"/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1"/>
        <v>45</v>
      </c>
      <c r="BO49" s="823" t="str" cm="1">
        <f t="array" ref="BO49" xml:space="preserve"> INDEX(_xlfn.ANCHORARRAY($D$17), 1, $BN49)</f>
        <v>H</v>
      </c>
      <c r="BP49" s="820" t="str" cm="1">
        <f t="array" ref="BP49" xml:space="preserve"> INDEX(_xlfn.ANCHORARRAY($D$18), 1, $BN49)</f>
        <v>o</v>
      </c>
      <c r="BQ49" s="732" t="str" cm="1">
        <f t="array" ref="BQ49" xml:space="preserve"> INDEX(_xlfn.ANCHORARRAY($D$19), 1, $BN49)</f>
        <v>ㆲ</v>
      </c>
      <c r="BR49" s="824" t="str" cm="1">
        <f t="array" ref="BR49" xml:space="preserve"> INDEX(_xlfn.ANCHORARRAY($D$20), 1, $BN49)</f>
        <v>ong</v>
      </c>
      <c r="BS49" s="825" t="str" cm="1">
        <f t="array" ref="BS49" xml:space="preserve"> INDEX(注音編碼對照表[聲韻調], MATCH(TRUE, EXACT($BP49, 注音編碼對照表[鍵盤按鍵]), 0))</f>
        <v>韻</v>
      </c>
      <c r="BT49" s="826">
        <f t="shared" si="2"/>
        <v>3</v>
      </c>
      <c r="BV49" s="549" t="str">
        <f t="shared" si="3"/>
        <v xml:space="preserve">    "o": { commit: "ㆲ" }  # /ong/ ==&gt; H</v>
      </c>
      <c r="BX49" s="262">
        <f t="shared" si="4"/>
        <v>45</v>
      </c>
      <c r="BY49" s="801"/>
      <c r="BZ49" s="734"/>
      <c r="CA49" s="732"/>
      <c r="CB49" s="113"/>
      <c r="CC49" s="733"/>
      <c r="CD49" s="735"/>
      <c r="CG49" s="262">
        <f t="shared" si="5"/>
        <v>45</v>
      </c>
      <c r="CH49" s="801"/>
      <c r="CI49" s="734"/>
      <c r="CJ49" s="732"/>
      <c r="CK49" s="113"/>
      <c r="CL49" s="733"/>
      <c r="CM49" s="735"/>
      <c r="CP49" s="262">
        <f t="shared" si="7"/>
        <v>45</v>
      </c>
      <c r="CQ49" s="801"/>
      <c r="CR49" s="734"/>
      <c r="CS49" s="732"/>
      <c r="CT49" s="113"/>
      <c r="CU49" s="733"/>
      <c r="CV49" s="735"/>
      <c r="CX49" s="698" t="str">
        <f t="shared" si="39"/>
        <v/>
      </c>
      <c r="CY49" s="262">
        <f t="shared" si="9"/>
        <v>45</v>
      </c>
      <c r="CZ49" s="801"/>
      <c r="DA49" s="734"/>
      <c r="DB49" s="732"/>
      <c r="DC49" s="113"/>
      <c r="DD49" s="733"/>
      <c r="DE49" s="735"/>
    </row>
    <row r="50" spans="1:109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831" t="str">
        <f xml:space="preserve"> _xlfn.CONCAT(AY54:BF54)</f>
        <v>ˉˉ^ˋˇˊˊ˙</v>
      </c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1"/>
        <v>46</v>
      </c>
      <c r="BO50" s="823" t="str" cm="1">
        <f t="array" ref="BO50" xml:space="preserve"> INDEX(_xlfn.ANCHORARRAY($D$17), 1, $BN50)</f>
        <v>P</v>
      </c>
      <c r="BP50" s="820" t="str" cm="1">
        <f t="array" ref="BP50" xml:space="preserve"> INDEX(_xlfn.ANCHORARRAY($D$18), 1, $BN50)</f>
        <v>b</v>
      </c>
      <c r="BQ50" s="732" t="str" cm="1">
        <f t="array" ref="BQ50" xml:space="preserve"> INDEX(_xlfn.ANCHORARRAY($D$19), 1, $BN50)</f>
        <v>ㆴ</v>
      </c>
      <c r="BR50" s="824" t="str" cm="1">
        <f t="array" ref="BR50" xml:space="preserve"> INDEX(_xlfn.ANCHORARRAY($D$20), 1, $BN50)</f>
        <v>p</v>
      </c>
      <c r="BS50" s="825" t="str" cm="1">
        <f t="array" ref="BS50" xml:space="preserve"> INDEX(注音編碼對照表[聲韻調], MATCH(TRUE, EXACT($BP50, 注音編碼對照表[鍵盤按鍵]), 0))</f>
        <v>韻尾</v>
      </c>
      <c r="BT50" s="826">
        <f t="shared" si="2"/>
        <v>1</v>
      </c>
      <c r="BV50" s="549" t="str">
        <f t="shared" si="3"/>
        <v xml:space="preserve">    "b": { commit: "ㆴ" }  # /p/ ==&gt; P</v>
      </c>
      <c r="BX50" s="262">
        <f t="shared" si="4"/>
        <v>46</v>
      </c>
      <c r="BY50" s="801"/>
      <c r="BZ50" s="734"/>
      <c r="CA50" s="732"/>
      <c r="CB50" s="113"/>
      <c r="CC50" s="733"/>
      <c r="CD50" s="735"/>
      <c r="CG50" s="262">
        <f t="shared" si="5"/>
        <v>46</v>
      </c>
      <c r="CH50" s="801"/>
      <c r="CI50" s="734"/>
      <c r="CJ50" s="732"/>
      <c r="CK50" s="113"/>
      <c r="CL50" s="733"/>
      <c r="CM50" s="735"/>
      <c r="CP50" s="262">
        <f t="shared" si="7"/>
        <v>46</v>
      </c>
      <c r="CQ50" s="801"/>
      <c r="CR50" s="734"/>
      <c r="CS50" s="732"/>
      <c r="CT50" s="113"/>
      <c r="CU50" s="733"/>
      <c r="CV50" s="735"/>
      <c r="CX50" s="698" t="str">
        <f t="shared" si="39"/>
        <v/>
      </c>
      <c r="CY50" s="262">
        <f t="shared" si="9"/>
        <v>46</v>
      </c>
      <c r="CZ50" s="801"/>
      <c r="DA50" s="734"/>
      <c r="DB50" s="732"/>
      <c r="DC50" s="113"/>
      <c r="DD50" s="733"/>
      <c r="DE50" s="735"/>
    </row>
    <row r="51" spans="1:109" ht="45" customHeight="1">
      <c r="A51" s="290"/>
      <c r="BJ51" s="316"/>
      <c r="BK51" s="316"/>
      <c r="BL51" s="316"/>
      <c r="BN51" s="262">
        <f t="shared" si="1"/>
        <v>47</v>
      </c>
      <c r="BO51" s="823" t="str" cm="1">
        <f t="array" ref="BO51" xml:space="preserve"> INDEX(_xlfn.ANCHORARRAY($D$17), 1, $BN51)</f>
        <v>T</v>
      </c>
      <c r="BP51" s="820" t="str" cm="1">
        <f t="array" ref="BP51" xml:space="preserve"> INDEX(_xlfn.ANCHORARRAY($D$18), 1, $BN51)</f>
        <v>t</v>
      </c>
      <c r="BQ51" s="732" t="str" cm="1">
        <f t="array" ref="BQ51" xml:space="preserve"> INDEX(_xlfn.ANCHORARRAY($D$19), 1, $BN51)</f>
        <v>ㆵ</v>
      </c>
      <c r="BR51" s="824" t="str" cm="1">
        <f t="array" ref="BR51" xml:space="preserve"> INDEX(_xlfn.ANCHORARRAY($D$20), 1, $BN51)</f>
        <v>t</v>
      </c>
      <c r="BS51" s="825" t="str" cm="1">
        <f t="array" ref="BS51" xml:space="preserve"> INDEX(注音編碼對照表[聲韻調], MATCH(TRUE, EXACT($BP51, 注音編碼對照表[鍵盤按鍵]), 0))</f>
        <v>韻尾</v>
      </c>
      <c r="BT51" s="826">
        <f t="shared" si="2"/>
        <v>1</v>
      </c>
      <c r="BV51" s="549" t="str">
        <f t="shared" si="3"/>
        <v xml:space="preserve">    "t": { commit: "ㆵ" }  # /t/ ==&gt; T</v>
      </c>
      <c r="BX51" s="262">
        <f t="shared" si="4"/>
        <v>47</v>
      </c>
      <c r="BY51" s="801"/>
      <c r="BZ51" s="734"/>
      <c r="CA51" s="732"/>
      <c r="CB51" s="113"/>
      <c r="CC51" s="733"/>
      <c r="CD51" s="735"/>
      <c r="CG51" s="262">
        <f t="shared" si="5"/>
        <v>47</v>
      </c>
      <c r="CH51" s="801"/>
      <c r="CI51" s="734"/>
      <c r="CJ51" s="732"/>
      <c r="CK51" s="113"/>
      <c r="CL51" s="733"/>
      <c r="CM51" s="735"/>
      <c r="CP51" s="262">
        <f t="shared" si="7"/>
        <v>47</v>
      </c>
      <c r="CQ51" s="801"/>
      <c r="CR51" s="734"/>
      <c r="CS51" s="732"/>
      <c r="CT51" s="113"/>
      <c r="CU51" s="733"/>
      <c r="CV51" s="735"/>
      <c r="CX51" s="698" t="str">
        <f t="shared" si="39"/>
        <v/>
      </c>
      <c r="CY51" s="262">
        <f t="shared" si="9"/>
        <v>47</v>
      </c>
      <c r="CZ51" s="801"/>
      <c r="DA51" s="734"/>
      <c r="DB51" s="732"/>
      <c r="DC51" s="113"/>
      <c r="DD51" s="733"/>
      <c r="DE51" s="735"/>
    </row>
    <row r="52" spans="1:109" ht="45" customHeight="1">
      <c r="B52" s="750">
        <v>1</v>
      </c>
      <c r="C52" s="750">
        <v>2</v>
      </c>
      <c r="D52" s="750">
        <v>3</v>
      </c>
      <c r="E52" s="750">
        <v>4</v>
      </c>
      <c r="F52" s="750">
        <v>5</v>
      </c>
      <c r="G52" s="750">
        <v>6</v>
      </c>
      <c r="H52" s="750">
        <v>7</v>
      </c>
      <c r="I52" s="750">
        <v>8</v>
      </c>
      <c r="J52" s="750">
        <v>9</v>
      </c>
      <c r="K52" s="750">
        <v>10</v>
      </c>
      <c r="L52" s="750">
        <v>11</v>
      </c>
      <c r="M52" s="750">
        <v>12</v>
      </c>
      <c r="N52" s="750">
        <v>13</v>
      </c>
      <c r="O52" s="750">
        <v>14</v>
      </c>
      <c r="P52" s="750">
        <v>15</v>
      </c>
      <c r="Q52" s="750">
        <v>16</v>
      </c>
      <c r="R52" s="750">
        <v>17</v>
      </c>
      <c r="S52" s="751">
        <v>18</v>
      </c>
      <c r="T52" s="750">
        <v>19</v>
      </c>
      <c r="U52" s="750">
        <v>20</v>
      </c>
      <c r="V52" s="750">
        <v>21</v>
      </c>
      <c r="W52" s="750">
        <v>22</v>
      </c>
      <c r="X52" s="750">
        <v>23</v>
      </c>
      <c r="Y52" s="750">
        <v>24</v>
      </c>
      <c r="Z52" s="750">
        <v>25</v>
      </c>
      <c r="AA52" s="750">
        <v>26</v>
      </c>
      <c r="AB52" s="750">
        <v>27</v>
      </c>
      <c r="AC52" s="750">
        <v>28</v>
      </c>
      <c r="AD52" s="750">
        <v>29</v>
      </c>
      <c r="AE52" s="750">
        <v>30</v>
      </c>
      <c r="AF52" s="750">
        <v>31</v>
      </c>
      <c r="AG52" s="750">
        <v>32</v>
      </c>
      <c r="AH52" s="752">
        <v>33</v>
      </c>
      <c r="AI52" s="752">
        <v>34</v>
      </c>
      <c r="AJ52" s="752">
        <v>35</v>
      </c>
      <c r="AK52" s="752">
        <v>36</v>
      </c>
      <c r="AL52" s="753">
        <v>37</v>
      </c>
      <c r="AM52" s="752">
        <v>38</v>
      </c>
      <c r="AN52" s="752">
        <v>39</v>
      </c>
      <c r="AO52" s="752">
        <v>40</v>
      </c>
      <c r="AP52" s="752">
        <v>41</v>
      </c>
      <c r="AQ52" s="752">
        <v>42</v>
      </c>
      <c r="AR52" s="752">
        <v>43</v>
      </c>
      <c r="AS52" s="752">
        <v>44</v>
      </c>
      <c r="AT52" s="752">
        <v>45</v>
      </c>
      <c r="AU52" s="752">
        <v>46</v>
      </c>
      <c r="AV52" s="752">
        <v>47</v>
      </c>
      <c r="AW52" s="752">
        <v>48</v>
      </c>
      <c r="AX52" s="752">
        <v>49</v>
      </c>
      <c r="AY52" s="752">
        <v>50</v>
      </c>
      <c r="AZ52" s="752">
        <v>51</v>
      </c>
      <c r="BA52" s="752">
        <v>52</v>
      </c>
      <c r="BB52" s="752">
        <v>53</v>
      </c>
      <c r="BC52" s="752">
        <v>54</v>
      </c>
      <c r="BD52" s="752">
        <v>55</v>
      </c>
      <c r="BE52" s="752">
        <v>56</v>
      </c>
      <c r="BF52" s="752">
        <v>57</v>
      </c>
      <c r="BG52" s="752">
        <v>58</v>
      </c>
      <c r="BH52" s="752">
        <v>59</v>
      </c>
      <c r="BI52" s="752">
        <v>60</v>
      </c>
      <c r="BJ52" s="316"/>
      <c r="BK52" s="316"/>
      <c r="BL52" s="316"/>
      <c r="BN52" s="262">
        <f t="shared" si="1"/>
        <v>48</v>
      </c>
      <c r="BO52" s="823" t="str" cm="1">
        <f t="array" ref="BO52" xml:space="preserve"> INDEX(_xlfn.ANCHORARRAY($D$17), 1, $BN52)</f>
        <v>K</v>
      </c>
      <c r="BP52" s="820" t="str" cm="1">
        <f t="array" ref="BP52" xml:space="preserve"> INDEX(_xlfn.ANCHORARRAY($D$18), 1, $BN52)</f>
        <v>g</v>
      </c>
      <c r="BQ52" s="732" t="str" cm="1">
        <f t="array" ref="BQ52" xml:space="preserve"> INDEX(_xlfn.ANCHORARRAY($D$19), 1, $BN52)</f>
        <v>ㆻ</v>
      </c>
      <c r="BR52" s="824" t="str" cm="1">
        <f t="array" ref="BR52" xml:space="preserve"> INDEX(_xlfn.ANCHORARRAY($D$20), 1, $BN52)</f>
        <v>k</v>
      </c>
      <c r="BS52" s="825" t="str" cm="1">
        <f t="array" ref="BS52" xml:space="preserve"> INDEX(注音編碼對照表[聲韻調], MATCH(TRUE, EXACT($BP52, 注音編碼對照表[鍵盤按鍵]), 0))</f>
        <v>韻尾</v>
      </c>
      <c r="BT52" s="826">
        <f t="shared" si="2"/>
        <v>1</v>
      </c>
      <c r="BV52" s="549" t="str">
        <f t="shared" si="3"/>
        <v xml:space="preserve">    "g": { commit: "ㆻ" }  # /k/ ==&gt; K</v>
      </c>
      <c r="BX52" s="262">
        <f t="shared" si="4"/>
        <v>48</v>
      </c>
      <c r="BY52" s="801"/>
      <c r="BZ52" s="734"/>
      <c r="CA52" s="732"/>
      <c r="CB52" s="113"/>
      <c r="CC52" s="733"/>
      <c r="CD52" s="735"/>
      <c r="CG52" s="262">
        <f t="shared" si="5"/>
        <v>48</v>
      </c>
      <c r="CH52" s="801"/>
      <c r="CI52" s="734"/>
      <c r="CJ52" s="732"/>
      <c r="CK52" s="113"/>
      <c r="CL52" s="733"/>
      <c r="CM52" s="735"/>
      <c r="CP52" s="262">
        <f t="shared" si="7"/>
        <v>48</v>
      </c>
      <c r="CQ52" s="801"/>
      <c r="CR52" s="734"/>
      <c r="CS52" s="732"/>
      <c r="CT52" s="113"/>
      <c r="CU52" s="733"/>
      <c r="CV52" s="735"/>
      <c r="CX52" s="698" t="str">
        <f t="shared" si="39"/>
        <v/>
      </c>
      <c r="CY52" s="262">
        <f t="shared" si="9"/>
        <v>48</v>
      </c>
      <c r="CZ52" s="801"/>
      <c r="DA52" s="734"/>
      <c r="DB52" s="732"/>
      <c r="DC52" s="113"/>
      <c r="DD52" s="733"/>
      <c r="DE52" s="735"/>
    </row>
    <row r="53" spans="1:109" ht="45" customHeight="1">
      <c r="A53" s="762"/>
      <c r="B53" s="764" t="str">
        <f xml:space="preserve"> MID($E$47, B$40, 1)</f>
        <v>a</v>
      </c>
      <c r="C53" s="764" t="str">
        <f t="shared" ref="C53:BI53" si="42" xml:space="preserve"> MID($E$47, C$40, 1)</f>
        <v>!</v>
      </c>
      <c r="D53" s="764" t="str">
        <f t="shared" si="42"/>
        <v>1</v>
      </c>
      <c r="E53" s="764" t="str">
        <f t="shared" si="42"/>
        <v>q</v>
      </c>
      <c r="F53" s="764" t="str">
        <f t="shared" si="42"/>
        <v>s</v>
      </c>
      <c r="G53" s="764" t="str">
        <f t="shared" si="42"/>
        <v>2</v>
      </c>
      <c r="H53" s="764" t="str">
        <f t="shared" si="42"/>
        <v>w</v>
      </c>
      <c r="I53" s="764" t="str">
        <f t="shared" si="42"/>
        <v>x</v>
      </c>
      <c r="J53" s="764" t="str">
        <f t="shared" si="42"/>
        <v>N</v>
      </c>
      <c r="K53" s="764" t="str">
        <f t="shared" si="42"/>
        <v>E</v>
      </c>
      <c r="L53" s="764" t="str">
        <f t="shared" si="42"/>
        <v>e</v>
      </c>
      <c r="M53" s="764" t="str">
        <f t="shared" si="42"/>
        <v>d</v>
      </c>
      <c r="N53" s="764" t="str">
        <f t="shared" si="42"/>
        <v>Y</v>
      </c>
      <c r="O53" s="764" t="str">
        <f t="shared" si="42"/>
        <v>y</v>
      </c>
      <c r="P53" s="764" t="str">
        <f t="shared" si="42"/>
        <v>h</v>
      </c>
      <c r="Q53" s="764" t="str">
        <f t="shared" si="42"/>
        <v>n</v>
      </c>
      <c r="R53" s="764" t="str">
        <f t="shared" si="42"/>
        <v>R</v>
      </c>
      <c r="S53" s="764" t="str">
        <f t="shared" si="42"/>
        <v>r</v>
      </c>
      <c r="T53" s="764" t="str">
        <f t="shared" si="42"/>
        <v>f</v>
      </c>
      <c r="U53" s="764" t="str">
        <f t="shared" si="42"/>
        <v>v</v>
      </c>
      <c r="V53" s="764" t="str">
        <f t="shared" si="42"/>
        <v>c</v>
      </c>
      <c r="W53" s="764" t="str">
        <f t="shared" si="42"/>
        <v>8</v>
      </c>
      <c r="X53" s="764" t="str">
        <f t="shared" si="42"/>
        <v>u</v>
      </c>
      <c r="Y53" s="764" t="str">
        <f t="shared" si="42"/>
        <v>K</v>
      </c>
      <c r="Z53" s="764" t="str">
        <f t="shared" si="42"/>
        <v>j</v>
      </c>
      <c r="AA53" s="764" t="str">
        <f t="shared" si="42"/>
        <v>,</v>
      </c>
      <c r="AB53" s="764" t="str">
        <f t="shared" si="42"/>
        <v>i</v>
      </c>
      <c r="AC53" s="764" t="str">
        <f t="shared" si="42"/>
        <v>k</v>
      </c>
      <c r="AD53" s="764" t="str">
        <f t="shared" si="42"/>
        <v>9</v>
      </c>
      <c r="AE53" s="764" t="str">
        <f t="shared" si="42"/>
        <v>l</v>
      </c>
      <c r="AF53" s="764" t="str">
        <f t="shared" si="42"/>
        <v>*</v>
      </c>
      <c r="AG53" s="764" t="str">
        <f t="shared" si="42"/>
        <v>U</v>
      </c>
      <c r="AH53" s="764" t="str">
        <f t="shared" si="42"/>
        <v>J</v>
      </c>
      <c r="AI53" s="764" t="str">
        <f t="shared" si="42"/>
        <v>&lt;</v>
      </c>
      <c r="AJ53" s="764" t="str">
        <f t="shared" si="42"/>
        <v>I</v>
      </c>
      <c r="AK53" s="764" t="str">
        <f t="shared" si="42"/>
        <v>(</v>
      </c>
      <c r="AL53" s="764" t="str">
        <f t="shared" si="42"/>
        <v>L</v>
      </c>
      <c r="AM53" s="764" t="str">
        <f t="shared" si="42"/>
        <v>m</v>
      </c>
      <c r="AN53" s="764" t="str">
        <f t="shared" si="42"/>
        <v>p</v>
      </c>
      <c r="AO53" s="764" t="str">
        <f t="shared" si="42"/>
        <v>/</v>
      </c>
      <c r="AP53" s="764" t="str">
        <f t="shared" si="42"/>
        <v>M</v>
      </c>
      <c r="AQ53" s="764" t="str">
        <f t="shared" si="42"/>
        <v>0</v>
      </c>
      <c r="AR53" s="764" t="str">
        <f t="shared" si="42"/>
        <v>;</v>
      </c>
      <c r="AS53" s="764" t="str">
        <f t="shared" si="42"/>
        <v>O</v>
      </c>
      <c r="AT53" s="764" t="str">
        <f t="shared" si="42"/>
        <v>o</v>
      </c>
      <c r="AU53" s="764" t="str">
        <f t="shared" si="42"/>
        <v>b</v>
      </c>
      <c r="AV53" s="764" t="str">
        <f t="shared" si="42"/>
        <v>t</v>
      </c>
      <c r="AW53" s="764" t="str">
        <f t="shared" si="42"/>
        <v>g</v>
      </c>
      <c r="AX53" s="764" t="str">
        <f t="shared" si="42"/>
        <v>z</v>
      </c>
      <c r="AY53" s="764" t="str">
        <f t="shared" si="42"/>
        <v>:</v>
      </c>
      <c r="AZ53" s="764" t="str">
        <f t="shared" si="42"/>
        <v>[</v>
      </c>
      <c r="BA53" s="764" t="str">
        <f t="shared" si="42"/>
        <v>5</v>
      </c>
      <c r="BB53" s="764" t="str">
        <f t="shared" si="42"/>
        <v>3</v>
      </c>
      <c r="BC53" s="764" t="str">
        <f t="shared" si="42"/>
        <v>4</v>
      </c>
      <c r="BD53" s="764" t="str">
        <f t="shared" si="42"/>
        <v>6</v>
      </c>
      <c r="BE53" s="764" t="str">
        <f t="shared" si="42"/>
        <v>]</v>
      </c>
      <c r="BF53" s="764" t="str">
        <f t="shared" si="42"/>
        <v>7</v>
      </c>
      <c r="BG53" s="764" t="str">
        <f t="shared" si="42"/>
        <v>.</v>
      </c>
      <c r="BH53" s="764" t="str">
        <f t="shared" si="42"/>
        <v>?</v>
      </c>
      <c r="BI53" s="764" t="str">
        <f t="shared" si="42"/>
        <v>-</v>
      </c>
      <c r="BJ53" s="316"/>
      <c r="BK53" s="316"/>
      <c r="BL53" s="316"/>
      <c r="BN53" s="262">
        <f t="shared" si="1"/>
        <v>49</v>
      </c>
      <c r="BO53" s="823" t="str" cm="1">
        <f t="array" ref="BO53" xml:space="preserve"> INDEX(_xlfn.ANCHORARRAY($D$17), 1, $BN53)</f>
        <v>V</v>
      </c>
      <c r="BP53" s="820" t="str" cm="1">
        <f t="array" ref="BP53" xml:space="preserve"> INDEX(_xlfn.ANCHORARRAY($D$18), 1, $BN53)</f>
        <v>z</v>
      </c>
      <c r="BQ53" s="732" t="str" cm="1">
        <f t="array" ref="BQ53" xml:space="preserve"> INDEX(_xlfn.ANCHORARRAY($D$19), 1, $BN53)</f>
        <v>ㆷ</v>
      </c>
      <c r="BR53" s="824" t="str" cm="1">
        <f t="array" ref="BR53" xml:space="preserve"> INDEX(_xlfn.ANCHORARRAY($D$20), 1, $BN53)</f>
        <v>h</v>
      </c>
      <c r="BS53" s="825" t="str" cm="1">
        <f t="array" ref="BS53" xml:space="preserve"> INDEX(注音編碼對照表[聲韻調], MATCH(TRUE, EXACT($BP53, 注音編碼對照表[鍵盤按鍵]), 0))</f>
        <v>韻尾</v>
      </c>
      <c r="BT53" s="826">
        <f t="shared" si="2"/>
        <v>1</v>
      </c>
      <c r="BV53" s="549" t="str">
        <f t="shared" si="3"/>
        <v xml:space="preserve">    "z": { commit: "ㆷ" }  # /h/ ==&gt; V</v>
      </c>
      <c r="BX53" s="262">
        <f t="shared" si="4"/>
        <v>49</v>
      </c>
      <c r="BY53" s="801"/>
      <c r="BZ53" s="734"/>
      <c r="CA53" s="732"/>
      <c r="CB53" s="113"/>
      <c r="CC53" s="733"/>
      <c r="CD53" s="735"/>
      <c r="CG53" s="262">
        <f t="shared" si="5"/>
        <v>49</v>
      </c>
      <c r="CH53" s="801"/>
      <c r="CI53" s="734"/>
      <c r="CJ53" s="732"/>
      <c r="CK53" s="113"/>
      <c r="CL53" s="733"/>
      <c r="CM53" s="735"/>
      <c r="CP53" s="262">
        <f t="shared" si="7"/>
        <v>49</v>
      </c>
      <c r="CQ53" s="801"/>
      <c r="CR53" s="734"/>
      <c r="CS53" s="732"/>
      <c r="CT53" s="113"/>
      <c r="CU53" s="733"/>
      <c r="CV53" s="735"/>
      <c r="CX53" s="698" t="str">
        <f t="shared" si="39"/>
        <v/>
      </c>
      <c r="CY53" s="262">
        <f t="shared" si="9"/>
        <v>49</v>
      </c>
      <c r="CZ53" s="801"/>
      <c r="DA53" s="734"/>
      <c r="DB53" s="732"/>
      <c r="DC53" s="113"/>
      <c r="DD53" s="733"/>
      <c r="DE53" s="735"/>
    </row>
    <row r="54" spans="1:109" ht="45" customHeight="1">
      <c r="A54" s="762"/>
      <c r="B54" s="811" t="str">
        <f xml:space="preserve"> MID($E$48, B$40, 1)</f>
        <v>ㄇ</v>
      </c>
      <c r="C54" s="811" t="str">
        <f t="shared" ref="C54:BI54" si="43" xml:space="preserve"> MID($E$48, C$40, 1)</f>
        <v>ㆠ</v>
      </c>
      <c r="D54" s="811" t="str">
        <f t="shared" si="43"/>
        <v>ㄅ</v>
      </c>
      <c r="E54" s="811" t="str">
        <f t="shared" si="43"/>
        <v>ㄆ</v>
      </c>
      <c r="F54" s="811" t="str">
        <f t="shared" si="43"/>
        <v>ㄋ</v>
      </c>
      <c r="G54" s="811" t="str">
        <f t="shared" si="43"/>
        <v>ㄉ</v>
      </c>
      <c r="H54" s="811" t="str">
        <f t="shared" si="43"/>
        <v>ㄊ</v>
      </c>
      <c r="I54" s="811" t="str">
        <f t="shared" si="43"/>
        <v>ㄌ</v>
      </c>
      <c r="J54" s="811" t="str">
        <f t="shared" si="43"/>
        <v>ㄫ</v>
      </c>
      <c r="K54" s="811" t="str">
        <f t="shared" si="43"/>
        <v>ㆣ</v>
      </c>
      <c r="L54" s="811" t="str">
        <f t="shared" si="43"/>
        <v>ㄍ</v>
      </c>
      <c r="M54" s="811" t="str">
        <f t="shared" si="43"/>
        <v>ㄎ</v>
      </c>
      <c r="N54" s="811" t="str">
        <f t="shared" si="43"/>
        <v>ㆡ</v>
      </c>
      <c r="O54" s="811" t="str">
        <f t="shared" si="43"/>
        <v>ㄗ</v>
      </c>
      <c r="P54" s="811" t="str">
        <f t="shared" si="43"/>
        <v>ㄘ</v>
      </c>
      <c r="Q54" s="811" t="str">
        <f t="shared" si="43"/>
        <v>ㄙ</v>
      </c>
      <c r="R54" s="811" t="str">
        <f t="shared" si="43"/>
        <v>ㆢ</v>
      </c>
      <c r="S54" s="811" t="str">
        <f t="shared" si="43"/>
        <v>ㄐ</v>
      </c>
      <c r="T54" s="811" t="str">
        <f t="shared" si="43"/>
        <v>ㄑ</v>
      </c>
      <c r="U54" s="811" t="str">
        <f t="shared" si="43"/>
        <v>ㄒ</v>
      </c>
      <c r="V54" s="811" t="str">
        <f t="shared" si="43"/>
        <v>ㄏ</v>
      </c>
      <c r="W54" s="811" t="str">
        <f t="shared" si="43"/>
        <v>ㄚ</v>
      </c>
      <c r="X54" s="811" t="str">
        <f t="shared" si="43"/>
        <v>ㄧ</v>
      </c>
      <c r="Y54" s="811" t="str">
        <f t="shared" si="43"/>
        <v>ㆨ</v>
      </c>
      <c r="Z54" s="811" t="str">
        <f t="shared" si="43"/>
        <v>ㄨ</v>
      </c>
      <c r="AA54" s="811" t="str">
        <f t="shared" si="43"/>
        <v>ㆤ</v>
      </c>
      <c r="AB54" s="811" t="str">
        <f t="shared" si="43"/>
        <v>ㆦ</v>
      </c>
      <c r="AC54" s="811" t="str">
        <f t="shared" si="43"/>
        <v>ㄜ</v>
      </c>
      <c r="AD54" s="811" t="str">
        <f t="shared" si="43"/>
        <v>ㄞ</v>
      </c>
      <c r="AE54" s="811" t="str">
        <f t="shared" si="43"/>
        <v>ㄠ</v>
      </c>
      <c r="AF54" s="811" t="str">
        <f t="shared" si="43"/>
        <v>ㆩ</v>
      </c>
      <c r="AG54" s="811" t="str">
        <f t="shared" si="43"/>
        <v>ㆪ</v>
      </c>
      <c r="AH54" s="811" t="str">
        <f t="shared" si="43"/>
        <v>ㆫ</v>
      </c>
      <c r="AI54" s="811" t="str">
        <f t="shared" si="43"/>
        <v>ㆥ</v>
      </c>
      <c r="AJ54" s="811" t="str">
        <f t="shared" si="43"/>
        <v>ㆧ</v>
      </c>
      <c r="AK54" s="811" t="str">
        <f t="shared" si="43"/>
        <v>ㆮ</v>
      </c>
      <c r="AL54" s="811" t="str">
        <f t="shared" si="43"/>
        <v>ㆯ</v>
      </c>
      <c r="AM54" s="811" t="str">
        <f t="shared" si="43"/>
        <v>ㆬ</v>
      </c>
      <c r="AN54" s="811" t="str">
        <f t="shared" si="43"/>
        <v>ㄣ</v>
      </c>
      <c r="AO54" s="811" t="str">
        <f t="shared" si="43"/>
        <v>ㆭ</v>
      </c>
      <c r="AP54" s="811" t="str">
        <f t="shared" si="43"/>
        <v>ㆰ</v>
      </c>
      <c r="AQ54" s="811" t="str">
        <f t="shared" si="43"/>
        <v>ㄢ</v>
      </c>
      <c r="AR54" s="811" t="str">
        <f t="shared" si="43"/>
        <v>ㄤ</v>
      </c>
      <c r="AS54" s="811" t="str">
        <f t="shared" si="43"/>
        <v>ㆱ</v>
      </c>
      <c r="AT54" s="811" t="str">
        <f t="shared" si="43"/>
        <v>ㆲ</v>
      </c>
      <c r="AU54" s="811" t="str">
        <f t="shared" si="43"/>
        <v>ㆴ</v>
      </c>
      <c r="AV54" s="811" t="str">
        <f t="shared" si="43"/>
        <v>ㆵ</v>
      </c>
      <c r="AW54" s="811" t="str">
        <f t="shared" si="43"/>
        <v>ㆻ</v>
      </c>
      <c r="AX54" s="811" t="str">
        <f t="shared" si="43"/>
        <v>ㆷ</v>
      </c>
      <c r="AY54" s="811" t="str">
        <f t="shared" si="43"/>
        <v>ˉ</v>
      </c>
      <c r="AZ54" s="811" t="str">
        <f t="shared" si="43"/>
        <v>ˉ</v>
      </c>
      <c r="BA54" s="811" t="str">
        <f t="shared" si="43"/>
        <v>^</v>
      </c>
      <c r="BB54" s="811" t="str">
        <f t="shared" si="43"/>
        <v>ˋ</v>
      </c>
      <c r="BC54" s="811" t="str">
        <f t="shared" si="43"/>
        <v>ˇ</v>
      </c>
      <c r="BD54" s="811" t="str">
        <f t="shared" si="43"/>
        <v>ˊ</v>
      </c>
      <c r="BE54" s="811" t="str">
        <f t="shared" si="43"/>
        <v>ˊ</v>
      </c>
      <c r="BF54" s="811" t="str">
        <f t="shared" si="43"/>
        <v>˙</v>
      </c>
      <c r="BG54" s="811" t="str">
        <f t="shared" si="43"/>
        <v>入</v>
      </c>
      <c r="BH54" s="811" t="str">
        <f t="shared" si="43"/>
        <v>ㄥ</v>
      </c>
      <c r="BI54" s="811" t="str">
        <f t="shared" si="43"/>
        <v>ñ</v>
      </c>
      <c r="BJ54" s="316"/>
      <c r="BK54" s="316"/>
      <c r="BL54" s="316"/>
      <c r="BN54" s="262">
        <f t="shared" si="1"/>
        <v>50</v>
      </c>
      <c r="BO54" s="823" cm="1">
        <f t="array" ref="BO54" xml:space="preserve"> INDEX(_xlfn.ANCHORARRAY($D$17), 1, $BN54)</f>
        <v>1</v>
      </c>
      <c r="BP54" s="820" t="str" cm="1">
        <f t="array" ref="BP54" xml:space="preserve"> INDEX(_xlfn.ANCHORARRAY($D$18), 1, $BN54)</f>
        <v>:</v>
      </c>
      <c r="BQ54" s="732" t="str" cm="1">
        <f t="array" ref="BQ54" xml:space="preserve"> INDEX(_xlfn.ANCHORARRAY($D$19), 1, $BN54)</f>
        <v>ˉ</v>
      </c>
      <c r="BR54" s="824" cm="1">
        <f t="array" ref="BR54" xml:space="preserve"> INDEX(_xlfn.ANCHORARRAY($D$20), 1, $BN54)</f>
        <v>1</v>
      </c>
      <c r="BS54" s="825" t="str" cm="1">
        <f t="array" ref="BS54" xml:space="preserve"> INDEX(注音編碼對照表[聲韻調], MATCH(TRUE, EXACT($BP54, 注音編碼對照表[鍵盤按鍵]), 0))</f>
        <v>調</v>
      </c>
      <c r="BT54" s="826">
        <f t="shared" si="2"/>
        <v>1</v>
      </c>
      <c r="BV54" s="549" t="str">
        <f t="shared" si="3"/>
        <v xml:space="preserve">    ":": { commit: "ˉ" }  # /1/ ==&gt; 1</v>
      </c>
      <c r="BX54" s="262">
        <f t="shared" si="4"/>
        <v>50</v>
      </c>
      <c r="BY54" s="801"/>
      <c r="BZ54" s="734"/>
      <c r="CA54" s="732"/>
      <c r="CB54" s="113"/>
      <c r="CC54" s="733"/>
      <c r="CD54" s="735"/>
      <c r="CG54" s="262">
        <f t="shared" si="5"/>
        <v>50</v>
      </c>
      <c r="CH54" s="801"/>
      <c r="CI54" s="734"/>
      <c r="CJ54" s="732"/>
      <c r="CK54" s="113"/>
      <c r="CL54" s="733"/>
      <c r="CM54" s="735"/>
      <c r="CP54" s="262">
        <f t="shared" si="7"/>
        <v>50</v>
      </c>
      <c r="CQ54" s="801"/>
      <c r="CR54" s="734"/>
      <c r="CS54" s="732"/>
      <c r="CT54" s="113"/>
      <c r="CU54" s="733"/>
      <c r="CV54" s="735"/>
      <c r="CX54" s="698" t="str">
        <f t="shared" si="39"/>
        <v/>
      </c>
      <c r="CY54" s="262">
        <f t="shared" si="9"/>
        <v>50</v>
      </c>
      <c r="CZ54" s="801"/>
      <c r="DA54" s="734"/>
      <c r="DB54" s="732"/>
      <c r="DC54" s="113"/>
      <c r="DD54" s="733"/>
      <c r="DE54" s="735"/>
    </row>
    <row r="55" spans="1:109" ht="45" customHeight="1">
      <c r="B55" s="290"/>
      <c r="C55" s="290"/>
      <c r="D55" s="290"/>
      <c r="E55" s="290"/>
      <c r="F55" s="290"/>
      <c r="G55" s="290"/>
      <c r="H55" s="290"/>
      <c r="I55" s="290"/>
      <c r="J55" s="290"/>
      <c r="K55" s="290"/>
      <c r="L55" s="290"/>
      <c r="M55" s="290"/>
      <c r="N55" s="290"/>
      <c r="O55" s="290"/>
      <c r="P55" s="290"/>
      <c r="Q55" s="290"/>
      <c r="R55" s="290"/>
      <c r="S55" s="290"/>
      <c r="T55" s="290"/>
      <c r="U55" s="290"/>
      <c r="V55" s="290"/>
      <c r="W55" s="290"/>
      <c r="X55" s="290"/>
      <c r="Y55" s="290"/>
      <c r="Z55" s="290"/>
      <c r="AA55" s="290"/>
      <c r="AB55" s="290"/>
      <c r="AC55" s="290"/>
      <c r="AD55" s="290"/>
      <c r="AE55" s="290"/>
      <c r="AF55" s="290"/>
      <c r="AG55" s="290"/>
      <c r="AH55" s="290"/>
      <c r="AI55" s="290"/>
      <c r="AJ55" s="290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1"/>
        <v>51</v>
      </c>
      <c r="BO55" s="823" cm="1">
        <f t="array" ref="BO55" xml:space="preserve"> INDEX(_xlfn.ANCHORARRAY($D$17), 1, $BN55)</f>
        <v>7</v>
      </c>
      <c r="BP55" s="820" t="str" cm="1">
        <f t="array" ref="BP55" xml:space="preserve"> INDEX(_xlfn.ANCHORARRAY($D$18), 1, $BN55)</f>
        <v>[</v>
      </c>
      <c r="BQ55" s="732" t="str" cm="1">
        <f t="array" ref="BQ55" xml:space="preserve"> INDEX(_xlfn.ANCHORARRAY($D$19), 1, $BN55)</f>
        <v>ˉ</v>
      </c>
      <c r="BR55" s="824" cm="1">
        <f t="array" ref="BR55" xml:space="preserve"> INDEX(_xlfn.ANCHORARRAY($D$20), 1, $BN55)</f>
        <v>7</v>
      </c>
      <c r="BS55" s="825" t="str" cm="1">
        <f t="array" ref="BS55" xml:space="preserve"> INDEX(注音編碼對照表[聲韻調], MATCH(TRUE, EXACT($BP55, 注音編碼對照表[鍵盤按鍵]), 0))</f>
        <v>調</v>
      </c>
      <c r="BT55" s="826">
        <f t="shared" si="2"/>
        <v>1</v>
      </c>
      <c r="BV55" s="549" t="str">
        <f t="shared" si="3"/>
        <v xml:space="preserve">    "[": { commit: "ˉ" }  # /7/ ==&gt; 7</v>
      </c>
      <c r="BX55" s="262">
        <f t="shared" si="4"/>
        <v>51</v>
      </c>
      <c r="BY55" s="801"/>
      <c r="BZ55" s="734"/>
      <c r="CA55" s="732"/>
      <c r="CB55" s="113"/>
      <c r="CC55" s="733"/>
      <c r="CD55" s="735"/>
      <c r="CG55" s="262">
        <f t="shared" si="5"/>
        <v>51</v>
      </c>
      <c r="CH55" s="801"/>
      <c r="CI55" s="734"/>
      <c r="CJ55" s="732"/>
      <c r="CK55" s="113"/>
      <c r="CL55" s="733"/>
      <c r="CM55" s="735"/>
      <c r="CP55" s="262">
        <f t="shared" si="7"/>
        <v>51</v>
      </c>
      <c r="CQ55" s="801"/>
      <c r="CR55" s="734"/>
      <c r="CS55" s="732"/>
      <c r="CT55" s="113"/>
      <c r="CU55" s="733"/>
      <c r="CV55" s="735"/>
      <c r="CX55" s="698" t="str">
        <f t="shared" si="39"/>
        <v/>
      </c>
      <c r="CY55" s="262">
        <f t="shared" si="9"/>
        <v>51</v>
      </c>
      <c r="CZ55" s="801"/>
      <c r="DA55" s="734"/>
      <c r="DB55" s="732"/>
      <c r="DC55" s="113"/>
      <c r="DD55" s="733"/>
      <c r="DE55" s="735"/>
    </row>
    <row r="56" spans="1:109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290"/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1"/>
        <v>52</v>
      </c>
      <c r="BO56" s="823" cm="1">
        <f t="array" ref="BO56" xml:space="preserve"> INDEX(_xlfn.ANCHORARRAY($D$17), 1, $BN56)</f>
        <v>6</v>
      </c>
      <c r="BP56" s="820" cm="1">
        <f t="array" ref="BP56" xml:space="preserve"> INDEX(_xlfn.ANCHORARRAY($D$18), 1, $BN56)</f>
        <v>5</v>
      </c>
      <c r="BQ56" s="732" t="str" cm="1">
        <f t="array" ref="BQ56" xml:space="preserve"> INDEX(_xlfn.ANCHORARRAY($D$19), 1, $BN56)</f>
        <v>^</v>
      </c>
      <c r="BR56" s="824" cm="1">
        <f t="array" ref="BR56" xml:space="preserve"> INDEX(_xlfn.ANCHORARRAY($D$20), 1, $BN56)</f>
        <v>6</v>
      </c>
      <c r="BS56" s="825" t="str" cm="1">
        <f t="array" ref="BS56" xml:space="preserve"> INDEX(注音編碼對照表[聲韻調], MATCH(TRUE, EXACT($BP56, 注音編碼對照表[鍵盤按鍵]), 0))</f>
        <v>調</v>
      </c>
      <c r="BT56" s="826">
        <f t="shared" si="2"/>
        <v>1</v>
      </c>
      <c r="BV56" s="549" t="str">
        <f t="shared" si="3"/>
        <v xml:space="preserve">    "5": { commit: "^" }  # /6/ ==&gt; 6</v>
      </c>
      <c r="BX56" s="262">
        <f t="shared" si="4"/>
        <v>52</v>
      </c>
      <c r="BY56" s="801"/>
      <c r="BZ56" s="734"/>
      <c r="CA56" s="732"/>
      <c r="CB56" s="113"/>
      <c r="CC56" s="733"/>
      <c r="CD56" s="735"/>
      <c r="CG56" s="262">
        <f t="shared" si="5"/>
        <v>52</v>
      </c>
      <c r="CH56" s="801"/>
      <c r="CI56" s="734"/>
      <c r="CJ56" s="732"/>
      <c r="CK56" s="113"/>
      <c r="CL56" s="733"/>
      <c r="CM56" s="735"/>
      <c r="CP56" s="262">
        <f t="shared" si="7"/>
        <v>52</v>
      </c>
      <c r="CQ56" s="801"/>
      <c r="CR56" s="734"/>
      <c r="CS56" s="732"/>
      <c r="CT56" s="113"/>
      <c r="CU56" s="733"/>
      <c r="CV56" s="735"/>
      <c r="CX56" s="698" t="str">
        <f t="shared" si="39"/>
        <v/>
      </c>
      <c r="CY56" s="262">
        <f t="shared" si="9"/>
        <v>52</v>
      </c>
      <c r="CZ56" s="801"/>
      <c r="DA56" s="734"/>
      <c r="DB56" s="732"/>
      <c r="DC56" s="113"/>
      <c r="DD56" s="733"/>
      <c r="DE56" s="735"/>
    </row>
    <row r="57" spans="1:109" ht="45" customHeight="1">
      <c r="B57" s="307" t="s">
        <v>578</v>
      </c>
      <c r="C57" s="293"/>
      <c r="D57" s="293"/>
      <c r="E57" s="293"/>
      <c r="F57" s="293"/>
      <c r="G57" s="293"/>
      <c r="H57" s="293"/>
      <c r="I57" s="293"/>
      <c r="J57" s="293"/>
      <c r="K57" s="293"/>
      <c r="L57" s="293"/>
      <c r="M57" s="293"/>
      <c r="N57" s="293"/>
      <c r="O57" s="293"/>
      <c r="P57" s="293"/>
      <c r="Q57" s="293"/>
      <c r="R57" s="293"/>
      <c r="S57" s="293"/>
      <c r="T57" s="293"/>
      <c r="U57" s="293"/>
      <c r="V57" s="293"/>
      <c r="W57" s="293"/>
      <c r="X57" s="293"/>
      <c r="Y57" s="293"/>
      <c r="Z57" s="293"/>
      <c r="AA57" s="293"/>
      <c r="AB57" s="293"/>
      <c r="AC57" s="293"/>
      <c r="AD57" s="293"/>
      <c r="AE57" s="293"/>
      <c r="AF57" s="293"/>
      <c r="AG57" s="293"/>
      <c r="AH57" s="290"/>
      <c r="AI57" s="290"/>
      <c r="AJ57" s="290"/>
      <c r="AK57" s="316"/>
      <c r="AL57" s="316"/>
      <c r="AM57" s="290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290"/>
      <c r="BH57" s="290"/>
      <c r="BI57" s="290"/>
      <c r="BJ57" s="316"/>
      <c r="BK57" s="316"/>
      <c r="BL57" s="316"/>
      <c r="BN57" s="262">
        <f t="shared" si="1"/>
        <v>53</v>
      </c>
      <c r="BO57" s="823" cm="1">
        <f t="array" ref="BO57" xml:space="preserve"> INDEX(_xlfn.ANCHORARRAY($D$17), 1, $BN57)</f>
        <v>5</v>
      </c>
      <c r="BP57" s="820" cm="1">
        <f t="array" ref="BP57" xml:space="preserve"> INDEX(_xlfn.ANCHORARRAY($D$18), 1, $BN57)</f>
        <v>3</v>
      </c>
      <c r="BQ57" s="732" t="str" cm="1">
        <f t="array" ref="BQ57" xml:space="preserve"> INDEX(_xlfn.ANCHORARRAY($D$19), 1, $BN57)</f>
        <v>ˋ</v>
      </c>
      <c r="BR57" s="824" cm="1">
        <f t="array" ref="BR57" xml:space="preserve"> INDEX(_xlfn.ANCHORARRAY($D$20), 1, $BN57)</f>
        <v>5</v>
      </c>
      <c r="BS57" s="825" t="str" cm="1">
        <f t="array" ref="BS57" xml:space="preserve"> INDEX(注音編碼對照表[聲韻調], MATCH(TRUE, EXACT($BP57, 注音編碼對照表[鍵盤按鍵]), 0))</f>
        <v>調</v>
      </c>
      <c r="BT57" s="826">
        <f t="shared" si="2"/>
        <v>1</v>
      </c>
      <c r="BV57" s="549" t="str">
        <f t="shared" si="3"/>
        <v xml:space="preserve">    "3": { commit: "ˋ" }  # /5/ ==&gt; 5</v>
      </c>
      <c r="BX57" s="262">
        <f t="shared" si="4"/>
        <v>53</v>
      </c>
      <c r="BY57" s="801"/>
      <c r="BZ57" s="734"/>
      <c r="CA57" s="732"/>
      <c r="CB57" s="113"/>
      <c r="CC57" s="733"/>
      <c r="CD57" s="735"/>
      <c r="CG57" s="262">
        <f t="shared" si="5"/>
        <v>53</v>
      </c>
      <c r="CH57" s="801"/>
      <c r="CI57" s="734"/>
      <c r="CJ57" s="732"/>
      <c r="CK57" s="113"/>
      <c r="CL57" s="733"/>
      <c r="CM57" s="735"/>
      <c r="CP57" s="262">
        <f t="shared" si="7"/>
        <v>53</v>
      </c>
      <c r="CQ57" s="801"/>
      <c r="CR57" s="734"/>
      <c r="CS57" s="732"/>
      <c r="CT57" s="113"/>
      <c r="CU57" s="733"/>
      <c r="CV57" s="735"/>
      <c r="CY57" s="262">
        <f t="shared" si="9"/>
        <v>53</v>
      </c>
      <c r="CZ57" s="801"/>
      <c r="DA57" s="734"/>
      <c r="DB57" s="732"/>
      <c r="DC57" s="113"/>
      <c r="DD57" s="733"/>
      <c r="DE57" s="735"/>
    </row>
    <row r="58" spans="1:109" ht="46.5" customHeight="1">
      <c r="B58" s="293" t="s">
        <v>579</v>
      </c>
      <c r="C58" s="293"/>
      <c r="D58" s="293"/>
      <c r="E58" s="293"/>
      <c r="F58" s="293"/>
      <c r="G58" s="293"/>
      <c r="H58" s="293"/>
      <c r="I58" s="293"/>
      <c r="J58" s="293"/>
      <c r="K58" s="293"/>
      <c r="L58" s="293"/>
      <c r="M58" s="293"/>
      <c r="N58" s="293"/>
      <c r="O58" s="293"/>
      <c r="P58" s="293"/>
      <c r="Q58" s="293"/>
      <c r="R58" s="293"/>
      <c r="S58" s="294"/>
      <c r="T58" s="293"/>
      <c r="U58" s="293"/>
      <c r="V58" s="293"/>
      <c r="W58" s="293"/>
      <c r="X58" s="293"/>
      <c r="Y58" s="293"/>
      <c r="Z58" s="293"/>
      <c r="AA58" s="293"/>
      <c r="AB58" s="293"/>
      <c r="AC58" s="293"/>
      <c r="AD58" s="293"/>
      <c r="AE58" s="293"/>
      <c r="AF58" s="293"/>
      <c r="AG58" s="293"/>
      <c r="AH58" s="290"/>
      <c r="AI58" s="290"/>
      <c r="AJ58" s="290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1"/>
        <v>54</v>
      </c>
      <c r="BO58" s="823" cm="1">
        <f t="array" ref="BO58" xml:space="preserve"> INDEX(_xlfn.ANCHORARRAY($D$17), 1, $BN58)</f>
        <v>3</v>
      </c>
      <c r="BP58" s="820" cm="1">
        <f t="array" ref="BP58" xml:space="preserve"> INDEX(_xlfn.ANCHORARRAY($D$18), 1, $BN58)</f>
        <v>4</v>
      </c>
      <c r="BQ58" s="732" t="str" cm="1">
        <f t="array" ref="BQ58" xml:space="preserve"> INDEX(_xlfn.ANCHORARRAY($D$19), 1, $BN58)</f>
        <v>ˇ</v>
      </c>
      <c r="BR58" s="824" cm="1">
        <f t="array" ref="BR58" xml:space="preserve"> INDEX(_xlfn.ANCHORARRAY($D$20), 1, $BN58)</f>
        <v>3</v>
      </c>
      <c r="BS58" s="825" t="str" cm="1">
        <f t="array" ref="BS58" xml:space="preserve"> INDEX(注音編碼對照表[聲韻調], MATCH(TRUE, EXACT($BP58, 注音編碼對照表[鍵盤按鍵]), 0))</f>
        <v>調</v>
      </c>
      <c r="BT58" s="826">
        <f t="shared" si="2"/>
        <v>1</v>
      </c>
      <c r="BV58" s="549" t="str">
        <f t="shared" si="3"/>
        <v xml:space="preserve">    "4": { commit: "ˇ" }  # /3/ ==&gt; 3</v>
      </c>
      <c r="BX58" s="262">
        <f t="shared" si="4"/>
        <v>54</v>
      </c>
      <c r="BY58" s="801"/>
      <c r="BZ58" s="734"/>
      <c r="CA58" s="732"/>
      <c r="CB58" s="113"/>
      <c r="CC58" s="733"/>
      <c r="CD58" s="735"/>
      <c r="CG58" s="262">
        <f t="shared" si="5"/>
        <v>54</v>
      </c>
      <c r="CH58" s="801"/>
      <c r="CI58" s="734"/>
      <c r="CJ58" s="732"/>
      <c r="CK58" s="113"/>
      <c r="CL58" s="733"/>
      <c r="CM58" s="735"/>
      <c r="CP58" s="262">
        <f t="shared" si="7"/>
        <v>54</v>
      </c>
      <c r="CQ58" s="801"/>
      <c r="CR58" s="734"/>
      <c r="CS58" s="732"/>
      <c r="CT58" s="113"/>
      <c r="CU58" s="733"/>
      <c r="CV58" s="735"/>
      <c r="CY58" s="262">
        <f t="shared" si="9"/>
        <v>54</v>
      </c>
      <c r="CZ58" s="801"/>
      <c r="DA58" s="734"/>
      <c r="DB58" s="732"/>
      <c r="DC58" s="113"/>
      <c r="DD58" s="733"/>
      <c r="DE58" s="735"/>
    </row>
    <row r="59" spans="1:109" ht="54" customHeight="1">
      <c r="B59" s="308" t="s">
        <v>8711</v>
      </c>
      <c r="C59" s="309"/>
      <c r="D59" s="309">
        <f xml:space="preserve"> LEN(E59)</f>
        <v>54</v>
      </c>
      <c r="E59" s="310" t="str">
        <f xml:space="preserve"> _xlfn.CONCAT(D17:BE17)</f>
        <v>mBbpndtlŋvgkZzcsJjCShaiwueOoIURDXEQxyMNGY@AWHPTKV17653</v>
      </c>
      <c r="F59" s="310"/>
      <c r="G59" s="310"/>
      <c r="H59" s="310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310"/>
      <c r="AF59" s="310"/>
      <c r="AG59" s="310"/>
      <c r="AH59" s="310"/>
      <c r="AI59" s="310"/>
      <c r="AJ59" s="310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J59" s="316"/>
      <c r="BK59" s="316"/>
      <c r="BL59" s="316"/>
      <c r="BN59" s="262">
        <f t="shared" si="1"/>
        <v>55</v>
      </c>
      <c r="BO59" s="823" cm="1">
        <f t="array" ref="BO59" xml:space="preserve"> INDEX(_xlfn.ANCHORARRAY($D$17), 1, $BN59)</f>
        <v>2</v>
      </c>
      <c r="BP59" s="820" cm="1">
        <f t="array" ref="BP59" xml:space="preserve"> INDEX(_xlfn.ANCHORARRAY($D$18), 1, $BN59)</f>
        <v>6</v>
      </c>
      <c r="BQ59" s="732" t="str" cm="1">
        <f t="array" ref="BQ59" xml:space="preserve"> INDEX(_xlfn.ANCHORARRAY($D$19), 1, $BN59)</f>
        <v>ˊ</v>
      </c>
      <c r="BR59" s="824" cm="1">
        <f t="array" ref="BR59" xml:space="preserve"> INDEX(_xlfn.ANCHORARRAY($D$20), 1, $BN59)</f>
        <v>2</v>
      </c>
      <c r="BS59" s="825" t="str" cm="1">
        <f t="array" ref="BS59" xml:space="preserve"> INDEX(注音編碼對照表[聲韻調], MATCH(TRUE, EXACT($BP59, 注音編碼對照表[鍵盤按鍵]), 0))</f>
        <v>調</v>
      </c>
      <c r="BT59" s="826">
        <f t="shared" si="2"/>
        <v>1</v>
      </c>
      <c r="BV59" s="549" t="str">
        <f t="shared" si="3"/>
        <v xml:space="preserve">    "6": { commit: "ˊ" }  # /2/ ==&gt; 2</v>
      </c>
      <c r="BX59" s="262">
        <f t="shared" si="4"/>
        <v>55</v>
      </c>
      <c r="BY59" s="801"/>
      <c r="BZ59" s="734"/>
      <c r="CA59" s="732"/>
      <c r="CB59" s="113"/>
      <c r="CC59" s="733"/>
      <c r="CD59" s="735"/>
      <c r="CG59" s="262">
        <f t="shared" si="5"/>
        <v>55</v>
      </c>
      <c r="CH59" s="801"/>
      <c r="CI59" s="734"/>
      <c r="CJ59" s="732"/>
      <c r="CK59" s="113"/>
      <c r="CL59" s="733"/>
      <c r="CM59" s="735"/>
      <c r="CP59" s="262">
        <f t="shared" si="7"/>
        <v>55</v>
      </c>
      <c r="CQ59" s="801"/>
      <c r="CR59" s="734"/>
      <c r="CS59" s="732"/>
      <c r="CT59" s="113"/>
      <c r="CU59" s="733"/>
      <c r="CV59" s="735"/>
      <c r="CY59" s="262">
        <f t="shared" si="9"/>
        <v>55</v>
      </c>
      <c r="CZ59" s="801"/>
      <c r="DA59" s="734"/>
      <c r="DB59" s="732"/>
      <c r="DC59" s="113"/>
      <c r="DD59" s="733"/>
      <c r="DE59" s="735"/>
    </row>
    <row r="60" spans="1:109" ht="54" customHeight="1">
      <c r="B60" s="311" t="s">
        <v>15</v>
      </c>
      <c r="C60" s="312"/>
      <c r="D60" s="312">
        <f>LEN(E60)</f>
        <v>54</v>
      </c>
      <c r="E60" s="311" t="str">
        <f xml:space="preserve"> _xlfn.CONCAT(D19:BE19)</f>
        <v>ㄇㆠㄅㄆㄋㄉㄊㄌㄫㆣㄍㄎㆡㄗㄘㄙㆢㄐㄑㄒㄏㄚㄧㆨㄨㆤㆦㄜㄞㄠㆩㆪㆫㆥㆧㆮㆯㆬㄣㆭㆰㄢㄤㆱㆲㆴㆵㆻㆷˉˉ^ˋˇ</v>
      </c>
      <c r="F60" s="311"/>
      <c r="G60" s="311"/>
      <c r="H60" s="311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1"/>
      <c r="AC60" s="311"/>
      <c r="AD60" s="311"/>
      <c r="AE60" s="311"/>
      <c r="AF60" s="311"/>
      <c r="AG60" s="311"/>
      <c r="AH60" s="311"/>
      <c r="AI60" s="311"/>
      <c r="AJ60" s="311"/>
      <c r="BJ60" s="316"/>
      <c r="BK60" s="316"/>
      <c r="BL60" s="316"/>
      <c r="BN60" s="262">
        <f t="shared" si="1"/>
        <v>56</v>
      </c>
      <c r="BO60" s="823" cm="1">
        <f t="array" ref="BO60" xml:space="preserve"> INDEX(_xlfn.ANCHORARRAY($D$17), 1, $BN60)</f>
        <v>8</v>
      </c>
      <c r="BP60" s="820" t="str" cm="1">
        <f t="array" ref="BP60" xml:space="preserve"> INDEX(_xlfn.ANCHORARRAY($D$18), 1, $BN60)</f>
        <v>]</v>
      </c>
      <c r="BQ60" s="732" t="str" cm="1">
        <f t="array" ref="BQ60" xml:space="preserve"> INDEX(_xlfn.ANCHORARRAY($D$19), 1, $BN60)</f>
        <v>ˊ</v>
      </c>
      <c r="BR60" s="824" cm="1">
        <f t="array" ref="BR60" xml:space="preserve"> INDEX(_xlfn.ANCHORARRAY($D$20), 1, $BN60)</f>
        <v>8</v>
      </c>
      <c r="BS60" s="825" t="str" cm="1">
        <f t="array" ref="BS60" xml:space="preserve"> INDEX(注音編碼對照表[聲韻調], MATCH(TRUE, EXACT($BP60, 注音編碼對照表[鍵盤按鍵]), 0))</f>
        <v>調</v>
      </c>
      <c r="BT60" s="826">
        <f t="shared" si="2"/>
        <v>1</v>
      </c>
      <c r="BV60" s="549" t="str">
        <f t="shared" si="3"/>
        <v xml:space="preserve">    "]": { commit: "ˊ" }  # /8/ ==&gt; 8</v>
      </c>
      <c r="BX60" s="262">
        <f t="shared" si="4"/>
        <v>56</v>
      </c>
      <c r="BY60" s="801"/>
      <c r="BZ60" s="734"/>
      <c r="CA60" s="732"/>
      <c r="CB60" s="113"/>
      <c r="CC60" s="733"/>
      <c r="CD60" s="735"/>
      <c r="CG60" s="262">
        <f t="shared" si="5"/>
        <v>56</v>
      </c>
      <c r="CH60" s="801"/>
      <c r="CI60" s="734"/>
      <c r="CJ60" s="732"/>
      <c r="CK60" s="113"/>
      <c r="CL60" s="733"/>
      <c r="CM60" s="735"/>
      <c r="CP60" s="262">
        <f t="shared" si="7"/>
        <v>56</v>
      </c>
      <c r="CQ60" s="801"/>
      <c r="CR60" s="734"/>
      <c r="CS60" s="732"/>
      <c r="CT60" s="113"/>
      <c r="CU60" s="733"/>
      <c r="CV60" s="735"/>
      <c r="CY60" s="262">
        <f t="shared" si="9"/>
        <v>56</v>
      </c>
      <c r="CZ60" s="801"/>
      <c r="DA60" s="734"/>
      <c r="DB60" s="732"/>
      <c r="DC60" s="113"/>
      <c r="DD60" s="733"/>
      <c r="DE60" s="735"/>
    </row>
    <row r="61" spans="1:109" ht="54" customHeight="1">
      <c r="B61" s="303" t="str">
        <f xml:space="preserve"> "- xlit|" &amp; E59 &amp; "|" &amp; E60 &amp; "|"</f>
        <v>- xlit|mBbpndtlŋvgkZzcsJjCShaiwueOoIURDXEQxyMNGY@AWHPTKV17653|ㄇㆠㄅㄆㄋㄉㄊㄌㄫㆣㄍㄎㆡㄗㄘㄙㆢㄐㄑㄒㄏㄚㄧㆨㄨㆤㆦㄜㄞㄠㆩㆪㆫㆥㆧㆮㆯㆬㄣㆭㆰㄢㄤㆱㆲㆴㆵㆻㆷˉˉ^ˋˇ|</v>
      </c>
      <c r="C61" s="314"/>
      <c r="D61" s="314"/>
      <c r="E61" s="314"/>
      <c r="F61" s="314"/>
      <c r="G61" s="314"/>
      <c r="H61" s="314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4"/>
      <c r="AC61" s="314"/>
      <c r="AD61" s="314"/>
      <c r="AE61" s="314"/>
      <c r="AF61" s="314"/>
      <c r="AG61" s="304"/>
      <c r="AH61" s="304"/>
      <c r="AI61" s="304"/>
      <c r="AJ61" s="304"/>
      <c r="BJ61" s="316"/>
      <c r="BK61" s="316"/>
      <c r="BL61" s="316"/>
      <c r="BN61" s="262">
        <f t="shared" si="1"/>
        <v>57</v>
      </c>
      <c r="BO61" s="823" cm="1">
        <f t="array" ref="BO61" xml:space="preserve"> INDEX(_xlfn.ANCHORARRAY($D$17), 1, $BN61)</f>
        <v>0</v>
      </c>
      <c r="BP61" s="820" cm="1">
        <f t="array" ref="BP61" xml:space="preserve"> INDEX(_xlfn.ANCHORARRAY($D$18), 1, $BN61)</f>
        <v>7</v>
      </c>
      <c r="BQ61" s="732" t="str" cm="1">
        <f t="array" ref="BQ61" xml:space="preserve"> INDEX(_xlfn.ANCHORARRAY($D$19), 1, $BN61)</f>
        <v>˙</v>
      </c>
      <c r="BR61" s="824" cm="1">
        <f t="array" ref="BR61" xml:space="preserve"> INDEX(_xlfn.ANCHORARRAY($D$20), 1, $BN61)</f>
        <v>0</v>
      </c>
      <c r="BS61" s="825" t="str" cm="1">
        <f t="array" ref="BS61" xml:space="preserve"> INDEX(注音編碼對照表[聲韻調], MATCH(TRUE, EXACT($BP61, 注音編碼對照表[鍵盤按鍵]), 0))</f>
        <v>調</v>
      </c>
      <c r="BT61" s="826">
        <f t="shared" si="2"/>
        <v>1</v>
      </c>
      <c r="BV61" s="549" t="str">
        <f t="shared" si="3"/>
        <v xml:space="preserve">    "7": { commit: "˙" }  # /0/ ==&gt; 0</v>
      </c>
      <c r="BX61" s="262">
        <f t="shared" si="4"/>
        <v>57</v>
      </c>
      <c r="BY61" s="801"/>
      <c r="BZ61" s="734"/>
      <c r="CA61" s="732"/>
      <c r="CB61" s="113"/>
      <c r="CC61" s="733"/>
      <c r="CD61" s="735"/>
      <c r="CG61" s="262">
        <f t="shared" si="5"/>
        <v>57</v>
      </c>
      <c r="CH61" s="801"/>
      <c r="CI61" s="734"/>
      <c r="CJ61" s="732"/>
      <c r="CK61" s="113"/>
      <c r="CL61" s="733"/>
      <c r="CM61" s="735"/>
      <c r="CP61" s="262">
        <f t="shared" si="7"/>
        <v>57</v>
      </c>
      <c r="CQ61" s="801"/>
      <c r="CR61" s="734"/>
      <c r="CS61" s="732"/>
      <c r="CT61" s="113"/>
      <c r="CU61" s="733"/>
      <c r="CV61" s="735"/>
      <c r="CY61" s="262">
        <f t="shared" si="9"/>
        <v>57</v>
      </c>
      <c r="CZ61" s="801"/>
      <c r="DA61" s="734"/>
      <c r="DB61" s="732"/>
      <c r="DC61" s="113"/>
      <c r="DD61" s="733"/>
      <c r="DE61" s="735"/>
    </row>
    <row r="62" spans="1:109" ht="45.75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BJ62" s="316"/>
      <c r="BK62" s="316"/>
      <c r="BL62" s="316"/>
      <c r="BN62" s="262">
        <f t="shared" si="1"/>
        <v>58</v>
      </c>
      <c r="BO62" s="823" cm="1">
        <f t="array" ref="BO62" xml:space="preserve"> INDEX(_xlfn.ANCHORARRAY($D$17), 1, $BN62)</f>
        <v>9</v>
      </c>
      <c r="BP62" s="820" t="str" cm="1">
        <f t="array" ref="BP62" xml:space="preserve"> INDEX(_xlfn.ANCHORARRAY($D$18), 1, $BN62)</f>
        <v>.</v>
      </c>
      <c r="BQ62" s="732" t="str" cm="1">
        <f t="array" ref="BQ62" xml:space="preserve"> INDEX(_xlfn.ANCHORARRAY($D$19), 1, $BN62)</f>
        <v>入</v>
      </c>
      <c r="BR62" s="824" cm="1">
        <f t="array" ref="BR62" xml:space="preserve"> INDEX(_xlfn.ANCHORARRAY($D$20), 1, $BN62)</f>
        <v>9</v>
      </c>
      <c r="BS62" s="825" t="str" cm="1">
        <f t="array" ref="BS62" xml:space="preserve"> INDEX(注音編碼對照表[聲韻調], MATCH(TRUE, EXACT($BP62, 注音編碼對照表[鍵盤按鍵]), 0))</f>
        <v>鍵</v>
      </c>
      <c r="BT62" s="826">
        <f t="shared" si="2"/>
        <v>1</v>
      </c>
      <c r="BV62" s="549" t="str">
        <f t="shared" si="3"/>
        <v xml:space="preserve">    ".": { commit: "入" }  # /9/ ==&gt; 9</v>
      </c>
      <c r="BX62" s="262">
        <f t="shared" si="4"/>
        <v>58</v>
      </c>
      <c r="BY62" s="801"/>
      <c r="BZ62" s="734"/>
      <c r="CA62" s="732"/>
      <c r="CB62" s="113"/>
      <c r="CC62" s="733"/>
      <c r="CD62" s="735"/>
      <c r="CG62" s="262">
        <f t="shared" si="5"/>
        <v>58</v>
      </c>
      <c r="CH62" s="801"/>
      <c r="CI62" s="734"/>
      <c r="CJ62" s="732"/>
      <c r="CK62" s="113"/>
      <c r="CL62" s="733"/>
      <c r="CM62" s="735"/>
      <c r="CP62" s="262">
        <f t="shared" si="7"/>
        <v>58</v>
      </c>
      <c r="CQ62" s="801"/>
      <c r="CR62" s="734"/>
      <c r="CS62" s="732"/>
      <c r="CT62" s="113"/>
      <c r="CU62" s="733"/>
      <c r="CV62" s="735"/>
      <c r="CY62" s="262">
        <f t="shared" si="9"/>
        <v>58</v>
      </c>
      <c r="CZ62" s="801"/>
      <c r="DA62" s="734"/>
      <c r="DB62" s="732"/>
      <c r="DC62" s="113"/>
      <c r="DD62" s="733"/>
      <c r="DE62" s="735"/>
    </row>
    <row r="63" spans="1:109" ht="45.75">
      <c r="B63" s="755" t="s">
        <v>8768</v>
      </c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755" cm="1">
        <f t="array" aca="1" ref="Y63" ca="1" xml:space="preserve"> INDIRECT( ADDRESS( ROW()-1, COLUMN()-1) )</f>
        <v>0</v>
      </c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BJ63" s="316"/>
      <c r="BK63" s="316"/>
      <c r="BL63" s="316"/>
      <c r="BN63" s="262">
        <f t="shared" si="1"/>
        <v>59</v>
      </c>
      <c r="BO63" s="823" t="str" cm="1">
        <f t="array" ref="BO63" xml:space="preserve"> INDEX(_xlfn.ANCHORARRAY($D$17), 1, $BN63)</f>
        <v>L</v>
      </c>
      <c r="BP63" s="820" t="str" cm="1">
        <f t="array" ref="BP63" xml:space="preserve"> INDEX(_xlfn.ANCHORARRAY($D$18), 1, $BN63)</f>
        <v>?</v>
      </c>
      <c r="BQ63" s="732" t="str" cm="1">
        <f t="array" ref="BQ63" xml:space="preserve"> INDEX(_xlfn.ANCHORARRAY($D$19), 1, $BN63)</f>
        <v>ㄥ</v>
      </c>
      <c r="BR63" s="824" t="str" cm="1">
        <f t="array" ref="BR63" xml:space="preserve"> INDEX(_xlfn.ANCHORARRAY($D$20), 1, $BN63)</f>
        <v>nn</v>
      </c>
      <c r="BS63" s="825" t="str" cm="1">
        <f t="array" ref="BS63" xml:space="preserve"> INDEX(注音編碼對照表[聲韻調], MATCH(TRUE, EXACT($BP63, 注音編碼對照表[鍵盤按鍵]), 0))</f>
        <v>鍵</v>
      </c>
      <c r="BT63" s="826">
        <f t="shared" si="2"/>
        <v>2</v>
      </c>
      <c r="BV63" s="549" t="str">
        <f t="shared" si="3"/>
        <v xml:space="preserve">    "?": { commit: "ㄥ" }  # /nn/ ==&gt; L</v>
      </c>
      <c r="BX63" s="262">
        <f t="shared" si="4"/>
        <v>59</v>
      </c>
      <c r="BY63" s="801"/>
      <c r="BZ63" s="734"/>
      <c r="CA63" s="732"/>
      <c r="CB63" s="113"/>
      <c r="CC63" s="733"/>
      <c r="CD63" s="735"/>
      <c r="CG63" s="262">
        <f t="shared" si="5"/>
        <v>59</v>
      </c>
      <c r="CH63" s="801"/>
      <c r="CI63" s="734"/>
      <c r="CJ63" s="732"/>
      <c r="CK63" s="113"/>
      <c r="CL63" s="733"/>
      <c r="CM63" s="735"/>
      <c r="CP63" s="262">
        <f t="shared" si="7"/>
        <v>59</v>
      </c>
      <c r="CQ63" s="801"/>
      <c r="CR63" s="734"/>
      <c r="CS63" s="732"/>
      <c r="CT63" s="113"/>
      <c r="CU63" s="733"/>
      <c r="CV63" s="735"/>
      <c r="CY63" s="262">
        <f t="shared" si="9"/>
        <v>59</v>
      </c>
      <c r="CZ63" s="801"/>
      <c r="DA63" s="734"/>
      <c r="DB63" s="732"/>
      <c r="DC63" s="113"/>
      <c r="DD63" s="733"/>
      <c r="DE63" s="735"/>
    </row>
    <row r="64" spans="1:109" ht="45.75">
      <c r="B64" s="755" t="s">
        <v>8769</v>
      </c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755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BJ64" s="316"/>
      <c r="BK64" s="316"/>
      <c r="BL64" s="316"/>
      <c r="BN64" s="262">
        <f t="shared" si="1"/>
        <v>60</v>
      </c>
      <c r="BO64" s="823" t="str" cm="1">
        <f t="array" ref="BO64" xml:space="preserve"> INDEX(_xlfn.ANCHORARRAY($D$17), 1, $BN64)</f>
        <v>*</v>
      </c>
      <c r="BP64" s="820" t="str" cm="1">
        <f t="array" ref="BP64" xml:space="preserve"> INDEX(_xlfn.ANCHORARRAY($D$18), 1, $BN64)</f>
        <v>-</v>
      </c>
      <c r="BQ64" s="732" t="str" cm="1">
        <f t="array" ref="BQ64" xml:space="preserve"> INDEX(_xlfn.ANCHORARRAY($D$19), 1, $BN64)</f>
        <v>ñ</v>
      </c>
      <c r="BR64" s="824" t="str" cm="1">
        <f t="array" ref="BR64" xml:space="preserve"> INDEX(_xlfn.ANCHORARRAY($D$20), 1, $BN64)</f>
        <v>*nn</v>
      </c>
      <c r="BS64" s="825" t="str" cm="1">
        <f t="array" ref="BS64" xml:space="preserve"> INDEX(注音編碼對照表[聲韻調], MATCH(TRUE, EXACT($BP64, 注音編碼對照表[鍵盤按鍵]), 0))</f>
        <v>鍵</v>
      </c>
      <c r="BT64" s="826">
        <f t="shared" si="2"/>
        <v>3</v>
      </c>
      <c r="BV64" s="549" t="str">
        <f t="shared" si="3"/>
        <v xml:space="preserve">    "-": { commit: "ñ" }  # /*nn/ ==&gt; *</v>
      </c>
      <c r="BX64" s="262">
        <f t="shared" si="4"/>
        <v>60</v>
      </c>
      <c r="BY64" s="801"/>
      <c r="BZ64" s="734"/>
      <c r="CA64" s="732"/>
      <c r="CB64" s="113"/>
      <c r="CC64" s="733"/>
      <c r="CD64" s="735"/>
      <c r="CG64" s="262">
        <f t="shared" si="5"/>
        <v>60</v>
      </c>
      <c r="CH64" s="801"/>
      <c r="CI64" s="734"/>
      <c r="CJ64" s="732"/>
      <c r="CK64" s="113"/>
      <c r="CL64" s="733"/>
      <c r="CM64" s="735"/>
      <c r="CP64" s="262">
        <f t="shared" si="7"/>
        <v>60</v>
      </c>
      <c r="CQ64" s="801"/>
      <c r="CR64" s="734"/>
      <c r="CS64" s="732"/>
      <c r="CT64" s="113"/>
      <c r="CU64" s="733"/>
      <c r="CV64" s="735"/>
      <c r="CY64" s="262">
        <f t="shared" si="9"/>
        <v>60</v>
      </c>
      <c r="CZ64" s="801"/>
      <c r="DA64" s="734"/>
      <c r="DB64" s="732"/>
      <c r="DC64" s="113"/>
      <c r="DD64" s="733"/>
      <c r="DE64" s="735"/>
    </row>
    <row r="65" spans="1:109" ht="45.75">
      <c r="A65" s="762">
        <f xml:space="preserve"> LEN(B77)</f>
        <v>60</v>
      </c>
      <c r="B65" s="316"/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6"/>
      <c r="AC65" s="316"/>
      <c r="AD65" s="316"/>
      <c r="AE65" s="316"/>
      <c r="AF65" s="316"/>
      <c r="AG65" s="316"/>
      <c r="AH65" s="316"/>
      <c r="AI65" s="316"/>
      <c r="AJ65" s="316"/>
      <c r="BJ65" s="316"/>
      <c r="BK65" s="316"/>
      <c r="BL65" s="316"/>
      <c r="BQ65" s="814"/>
      <c r="BS65" s="814"/>
      <c r="BY65" s="58"/>
      <c r="BZ65" s="734"/>
      <c r="CA65" s="732"/>
      <c r="CB65" s="113"/>
      <c r="CC65" s="733"/>
      <c r="CD65" s="735"/>
      <c r="CH65" s="58"/>
      <c r="CI65" s="734"/>
      <c r="CJ65" s="732"/>
      <c r="CK65" s="113"/>
      <c r="CL65" s="733"/>
      <c r="CM65" s="735"/>
      <c r="CQ65" s="58"/>
      <c r="CR65" s="734"/>
      <c r="CS65" s="732"/>
      <c r="CT65" s="113"/>
      <c r="CU65" s="733"/>
      <c r="CV65" s="735"/>
      <c r="CZ65" s="58"/>
      <c r="DA65" s="734"/>
      <c r="DB65" s="732"/>
      <c r="DC65" s="113"/>
      <c r="DD65" s="733"/>
      <c r="DE65" s="735"/>
    </row>
    <row r="66" spans="1:109">
      <c r="A66" s="762">
        <f xml:space="preserve"> LEN(B78)</f>
        <v>60</v>
      </c>
      <c r="B66" s="316"/>
      <c r="C66" s="316"/>
      <c r="D66" s="316"/>
      <c r="BC66" s="316"/>
      <c r="BD66" s="316"/>
      <c r="BE66" s="316"/>
      <c r="BF66" s="316"/>
      <c r="BG66" s="316"/>
      <c r="BH66" s="316"/>
      <c r="BI66" s="316"/>
      <c r="BJ66" s="316"/>
      <c r="BK66" s="316"/>
      <c r="BL66" s="316"/>
    </row>
    <row r="67" spans="1:109">
      <c r="B67" s="750">
        <v>1</v>
      </c>
      <c r="C67" s="750">
        <v>2</v>
      </c>
      <c r="D67" s="750">
        <v>3</v>
      </c>
      <c r="E67" s="750">
        <v>4</v>
      </c>
      <c r="F67" s="750">
        <v>5</v>
      </c>
      <c r="G67" s="750">
        <v>6</v>
      </c>
      <c r="H67" s="750">
        <v>7</v>
      </c>
      <c r="I67" s="750">
        <v>8</v>
      </c>
      <c r="J67" s="750">
        <v>9</v>
      </c>
      <c r="K67" s="750">
        <v>10</v>
      </c>
      <c r="L67" s="750">
        <v>11</v>
      </c>
      <c r="M67" s="750">
        <v>12</v>
      </c>
      <c r="N67" s="750">
        <v>13</v>
      </c>
      <c r="O67" s="750">
        <v>14</v>
      </c>
      <c r="P67" s="750">
        <v>15</v>
      </c>
      <c r="Q67" s="750">
        <v>16</v>
      </c>
      <c r="R67" s="750">
        <v>17</v>
      </c>
      <c r="S67" s="751">
        <v>18</v>
      </c>
      <c r="T67" s="750">
        <v>19</v>
      </c>
      <c r="U67" s="750">
        <v>20</v>
      </c>
      <c r="V67" s="750">
        <v>21</v>
      </c>
      <c r="W67" s="750">
        <v>22</v>
      </c>
      <c r="X67" s="750">
        <v>23</v>
      </c>
      <c r="Y67" s="750">
        <v>24</v>
      </c>
      <c r="Z67" s="750">
        <v>25</v>
      </c>
      <c r="AA67" s="750">
        <v>26</v>
      </c>
      <c r="AB67" s="750">
        <v>27</v>
      </c>
      <c r="AC67" s="750">
        <v>28</v>
      </c>
      <c r="AD67" s="750">
        <v>29</v>
      </c>
      <c r="AE67" s="750">
        <v>30</v>
      </c>
      <c r="AF67" s="750">
        <v>31</v>
      </c>
      <c r="AG67" s="750">
        <v>32</v>
      </c>
      <c r="AH67" s="752">
        <v>33</v>
      </c>
      <c r="AI67" s="752">
        <v>34</v>
      </c>
      <c r="AJ67" s="752">
        <v>35</v>
      </c>
      <c r="AK67" s="752">
        <v>36</v>
      </c>
      <c r="AL67" s="753">
        <v>37</v>
      </c>
      <c r="AM67" s="752">
        <v>38</v>
      </c>
      <c r="AN67" s="752">
        <v>39</v>
      </c>
      <c r="AO67" s="752">
        <v>40</v>
      </c>
      <c r="AP67" s="752">
        <v>41</v>
      </c>
      <c r="AQ67" s="752">
        <v>42</v>
      </c>
      <c r="AR67" s="752">
        <v>43</v>
      </c>
      <c r="AS67" s="752">
        <v>44</v>
      </c>
      <c r="AT67" s="752">
        <v>45</v>
      </c>
      <c r="AU67" s="752">
        <v>46</v>
      </c>
      <c r="AV67" s="752">
        <v>47</v>
      </c>
      <c r="AW67" s="752">
        <v>48</v>
      </c>
      <c r="AX67" s="752">
        <v>49</v>
      </c>
      <c r="AY67" s="752">
        <v>50</v>
      </c>
      <c r="AZ67" s="752">
        <v>51</v>
      </c>
      <c r="BA67" s="752">
        <v>52</v>
      </c>
      <c r="BB67" s="752">
        <v>53</v>
      </c>
      <c r="BC67" s="752">
        <v>54</v>
      </c>
      <c r="BD67" s="752">
        <v>55</v>
      </c>
      <c r="BE67" s="752">
        <v>56</v>
      </c>
      <c r="BF67" s="752">
        <v>57</v>
      </c>
      <c r="BG67" s="752">
        <v>58</v>
      </c>
      <c r="BH67" s="752">
        <v>59</v>
      </c>
      <c r="BI67" s="752">
        <v>60</v>
      </c>
      <c r="BJ67" s="316"/>
      <c r="BK67" s="316"/>
      <c r="BL67" s="316"/>
    </row>
    <row r="68" spans="1:109">
      <c r="B68" s="767" t="str" cm="1">
        <f t="array" ref="B68:BI68" xml:space="preserve"> TRANSPOSE(注音編碼對照表[字典編碼])</f>
        <v>m</v>
      </c>
      <c r="C68" s="767" t="str">
        <v>B</v>
      </c>
      <c r="D68" s="767" t="str">
        <v>b</v>
      </c>
      <c r="E68" s="767" t="str">
        <v>p</v>
      </c>
      <c r="F68" s="767" t="str">
        <v>n</v>
      </c>
      <c r="G68" s="767" t="str">
        <v>d</v>
      </c>
      <c r="H68" s="767" t="str">
        <v>t</v>
      </c>
      <c r="I68" s="767" t="str">
        <v>l</v>
      </c>
      <c r="J68" s="767" t="str">
        <v>ŋ</v>
      </c>
      <c r="K68" s="767" t="str">
        <v>v</v>
      </c>
      <c r="L68" s="767" t="str">
        <v>g</v>
      </c>
      <c r="M68" s="767" t="str">
        <v>k</v>
      </c>
      <c r="N68" s="767" t="str">
        <v>Z</v>
      </c>
      <c r="O68" s="767" t="str">
        <v>z</v>
      </c>
      <c r="P68" s="767" t="str">
        <v>c</v>
      </c>
      <c r="Q68" s="767" t="str">
        <v>s</v>
      </c>
      <c r="R68" s="767" t="str">
        <v>J</v>
      </c>
      <c r="S68" s="767" t="str">
        <v>j</v>
      </c>
      <c r="T68" s="767" t="str">
        <v>C</v>
      </c>
      <c r="U68" s="767" t="str">
        <v>S</v>
      </c>
      <c r="V68" s="767" t="str">
        <v>h</v>
      </c>
      <c r="W68" s="767" t="str">
        <v>a</v>
      </c>
      <c r="X68" s="767" t="str">
        <v>i</v>
      </c>
      <c r="Y68" s="767" t="str">
        <v>w</v>
      </c>
      <c r="Z68" s="767" t="str">
        <v>u</v>
      </c>
      <c r="AA68" s="767" t="str">
        <v>e</v>
      </c>
      <c r="AB68" s="767" t="str">
        <v>O</v>
      </c>
      <c r="AC68" s="767" t="str">
        <v>o</v>
      </c>
      <c r="AD68" s="767" t="str">
        <v>I</v>
      </c>
      <c r="AE68" s="767" t="str">
        <v>U</v>
      </c>
      <c r="AF68" s="767" t="str">
        <v>R</v>
      </c>
      <c r="AG68" s="767" t="str">
        <v>D</v>
      </c>
      <c r="AH68" s="768" t="str">
        <v>X</v>
      </c>
      <c r="AI68" s="768" t="str">
        <v>E</v>
      </c>
      <c r="AJ68" s="768" t="str">
        <v>Q</v>
      </c>
      <c r="AK68" s="768" t="str">
        <v>x</v>
      </c>
      <c r="AL68" s="769" t="str">
        <v>y</v>
      </c>
      <c r="AM68" s="768" t="str">
        <v>M</v>
      </c>
      <c r="AN68" s="768" t="str">
        <v>N</v>
      </c>
      <c r="AO68" s="768" t="str">
        <v>G</v>
      </c>
      <c r="AP68" s="768" t="str">
        <v>Y</v>
      </c>
      <c r="AQ68" s="768" t="str">
        <v>@</v>
      </c>
      <c r="AR68" s="768" t="str">
        <v>A</v>
      </c>
      <c r="AS68" s="768" t="str">
        <v>W</v>
      </c>
      <c r="AT68" s="768" t="str">
        <v>H</v>
      </c>
      <c r="AU68" s="768" t="str">
        <v>P</v>
      </c>
      <c r="AV68" s="768" t="str">
        <v>T</v>
      </c>
      <c r="AW68" s="768" t="str">
        <v>K</v>
      </c>
      <c r="AX68" s="768" t="str">
        <v>V</v>
      </c>
      <c r="AY68" s="768">
        <v>1</v>
      </c>
      <c r="AZ68" s="768">
        <v>7</v>
      </c>
      <c r="BA68" s="768">
        <v>6</v>
      </c>
      <c r="BB68" s="768">
        <v>5</v>
      </c>
      <c r="BC68" s="768">
        <v>3</v>
      </c>
      <c r="BD68" s="768">
        <v>2</v>
      </c>
      <c r="BE68" s="768">
        <v>8</v>
      </c>
      <c r="BF68" s="768">
        <v>0</v>
      </c>
      <c r="BG68" s="768">
        <v>9</v>
      </c>
      <c r="BH68" s="768" t="str">
        <v>L</v>
      </c>
      <c r="BI68" s="768" t="str">
        <v>*</v>
      </c>
      <c r="BJ68" s="316"/>
      <c r="BK68" s="316"/>
    </row>
    <row r="69" spans="1:109">
      <c r="A69" s="762">
        <f xml:space="preserve"> LEN(B82)</f>
        <v>49</v>
      </c>
      <c r="B69" s="764" t="str" cm="1">
        <f t="array" ref="B69:BI69" xml:space="preserve"> TRANSPOSE(注音編碼對照表[鍵盤按鍵])</f>
        <v>a</v>
      </c>
      <c r="C69" s="764" t="str">
        <v>!</v>
      </c>
      <c r="D69" s="764" t="str">
        <v>1</v>
      </c>
      <c r="E69" s="764" t="str">
        <v>q</v>
      </c>
      <c r="F69" s="764" t="str">
        <v>s</v>
      </c>
      <c r="G69" s="764" t="str">
        <v>2</v>
      </c>
      <c r="H69" s="764" t="str">
        <v>w</v>
      </c>
      <c r="I69" s="764" t="str">
        <v>x</v>
      </c>
      <c r="J69" s="764" t="str">
        <v>N</v>
      </c>
      <c r="K69" s="764" t="str">
        <v>E</v>
      </c>
      <c r="L69" s="764" t="str">
        <v>e</v>
      </c>
      <c r="M69" s="764" t="str">
        <v>d</v>
      </c>
      <c r="N69" s="764" t="str">
        <v>Y</v>
      </c>
      <c r="O69" s="764" t="str">
        <v>y</v>
      </c>
      <c r="P69" s="764" t="str">
        <v>h</v>
      </c>
      <c r="Q69" s="764" t="str">
        <v>n</v>
      </c>
      <c r="R69" s="764" t="str">
        <v>R</v>
      </c>
      <c r="S69" s="764" t="str">
        <v>r</v>
      </c>
      <c r="T69" s="764" t="str">
        <v>f</v>
      </c>
      <c r="U69" s="764" t="str">
        <v>v</v>
      </c>
      <c r="V69" s="764" t="str">
        <v>c</v>
      </c>
      <c r="W69" s="764" t="str">
        <v>8</v>
      </c>
      <c r="X69" s="764" t="str">
        <v>u</v>
      </c>
      <c r="Y69" s="764" t="str">
        <v>K</v>
      </c>
      <c r="Z69" s="764" t="str">
        <v>j</v>
      </c>
      <c r="AA69" s="764" t="str">
        <v>,</v>
      </c>
      <c r="AB69" s="764" t="str">
        <v>i</v>
      </c>
      <c r="AC69" s="764" t="str">
        <v>k</v>
      </c>
      <c r="AD69" s="764" t="str">
        <v>9</v>
      </c>
      <c r="AE69" s="764" t="str">
        <v>l</v>
      </c>
      <c r="AF69" s="764" t="str">
        <v>*</v>
      </c>
      <c r="AG69" s="764" t="str">
        <v>U</v>
      </c>
      <c r="AH69" s="765" t="str">
        <v>J</v>
      </c>
      <c r="AI69" s="765" t="str">
        <v>&lt;</v>
      </c>
      <c r="AJ69" s="765" t="str">
        <v>I</v>
      </c>
      <c r="AK69" s="765" t="str">
        <v>(</v>
      </c>
      <c r="AL69" s="766" t="str">
        <v>L</v>
      </c>
      <c r="AM69" s="765" t="str">
        <v>m</v>
      </c>
      <c r="AN69" s="765" t="str">
        <v>p</v>
      </c>
      <c r="AO69" s="765" t="str">
        <v>/</v>
      </c>
      <c r="AP69" s="765" t="str">
        <v>M</v>
      </c>
      <c r="AQ69" s="765" t="str">
        <v>0</v>
      </c>
      <c r="AR69" s="765" t="str">
        <v>;</v>
      </c>
      <c r="AS69" s="765" t="str">
        <v>O</v>
      </c>
      <c r="AT69" s="765" t="str">
        <v>o</v>
      </c>
      <c r="AU69" s="765" t="str">
        <v>b</v>
      </c>
      <c r="AV69" s="765" t="str">
        <v>t</v>
      </c>
      <c r="AW69" s="765" t="str">
        <v>g</v>
      </c>
      <c r="AX69" s="765" t="str">
        <v>z</v>
      </c>
      <c r="AY69" s="765" t="str">
        <v>:</v>
      </c>
      <c r="AZ69" s="765" t="str">
        <v>[</v>
      </c>
      <c r="BA69" s="765">
        <v>5</v>
      </c>
      <c r="BB69" s="765">
        <v>3</v>
      </c>
      <c r="BC69" s="765">
        <v>4</v>
      </c>
      <c r="BD69" s="765">
        <v>6</v>
      </c>
      <c r="BE69" s="765" t="str">
        <v>]</v>
      </c>
      <c r="BF69" s="765">
        <v>7</v>
      </c>
      <c r="BG69" s="765" t="str">
        <v>.</v>
      </c>
      <c r="BH69" s="765" t="str">
        <v>?</v>
      </c>
      <c r="BI69" s="765" t="str">
        <v>-</v>
      </c>
      <c r="BJ69" s="316"/>
      <c r="BK69" s="316"/>
    </row>
    <row r="70" spans="1:109">
      <c r="A70" s="762">
        <f xml:space="preserve"> LEN(B83)</f>
        <v>49</v>
      </c>
      <c r="B70" s="756" t="str" cm="1">
        <f t="array" ref="B70:BI70" xml:space="preserve"> TRANSPOSE(注音編碼對照表[方音符號])</f>
        <v>ㄇ</v>
      </c>
      <c r="C70" s="756" t="str">
        <v>ㆠ</v>
      </c>
      <c r="D70" s="756" t="str">
        <v>ㄅ</v>
      </c>
      <c r="E70" s="756" t="str">
        <v>ㄆ</v>
      </c>
      <c r="F70" s="756" t="str">
        <v>ㄋ</v>
      </c>
      <c r="G70" s="756" t="str">
        <v>ㄉ</v>
      </c>
      <c r="H70" s="756" t="str">
        <v>ㄊ</v>
      </c>
      <c r="I70" s="756" t="str">
        <v>ㄌ</v>
      </c>
      <c r="J70" s="756" t="str">
        <v>ㄫ</v>
      </c>
      <c r="K70" s="756" t="str">
        <v>ㆣ</v>
      </c>
      <c r="L70" s="756" t="str">
        <v>ㄍ</v>
      </c>
      <c r="M70" s="756" t="str">
        <v>ㄎ</v>
      </c>
      <c r="N70" s="756" t="str">
        <v>ㆡ</v>
      </c>
      <c r="O70" s="756" t="str">
        <v>ㄗ</v>
      </c>
      <c r="P70" s="756" t="str">
        <v>ㄘ</v>
      </c>
      <c r="Q70" s="756" t="str">
        <v>ㄙ</v>
      </c>
      <c r="R70" s="756" t="str">
        <v>ㆢ</v>
      </c>
      <c r="S70" s="756" t="str">
        <v>ㄐ</v>
      </c>
      <c r="T70" s="756" t="str">
        <v>ㄑ</v>
      </c>
      <c r="U70" s="756" t="str">
        <v>ㄒ</v>
      </c>
      <c r="V70" s="756" t="str">
        <v>ㄏ</v>
      </c>
      <c r="W70" s="756" t="str">
        <v>ㄚ</v>
      </c>
      <c r="X70" s="756" t="str">
        <v>ㄧ</v>
      </c>
      <c r="Y70" s="756" t="str">
        <v>ㆨ</v>
      </c>
      <c r="Z70" s="756" t="str">
        <v>ㄨ</v>
      </c>
      <c r="AA70" s="756" t="str">
        <v>ㆤ</v>
      </c>
      <c r="AB70" s="756" t="str">
        <v>ㆦ</v>
      </c>
      <c r="AC70" s="756" t="str">
        <v>ㄜ</v>
      </c>
      <c r="AD70" s="756" t="str">
        <v>ㄞ</v>
      </c>
      <c r="AE70" s="756" t="str">
        <v>ㄠ</v>
      </c>
      <c r="AF70" s="756" t="str">
        <v>ㆩ</v>
      </c>
      <c r="AG70" s="756" t="str">
        <v>ㆪ</v>
      </c>
      <c r="AH70" s="757" t="str">
        <v>ㆫ</v>
      </c>
      <c r="AI70" s="757" t="str">
        <v>ㆥ</v>
      </c>
      <c r="AJ70" s="757" t="str">
        <v>ㆧ</v>
      </c>
      <c r="AK70" s="757" t="str">
        <v>ㆮ</v>
      </c>
      <c r="AL70" s="758" t="str">
        <v>ㆯ</v>
      </c>
      <c r="AM70" s="757" t="str">
        <v>ㆬ</v>
      </c>
      <c r="AN70" s="757" t="str">
        <v>ㄣ</v>
      </c>
      <c r="AO70" s="757" t="str">
        <v>ㆭ</v>
      </c>
      <c r="AP70" s="757" t="str">
        <v>ㆰ</v>
      </c>
      <c r="AQ70" s="757" t="str">
        <v>ㄢ</v>
      </c>
      <c r="AR70" s="757" t="str">
        <v>ㄤ</v>
      </c>
      <c r="AS70" s="757" t="str">
        <v>ㆱ</v>
      </c>
      <c r="AT70" s="757" t="str">
        <v>ㆲ</v>
      </c>
      <c r="AU70" s="757" t="str">
        <v>ㆴ</v>
      </c>
      <c r="AV70" s="757" t="str">
        <v>ㆵ</v>
      </c>
      <c r="AW70" s="757" t="str">
        <v>ㆻ</v>
      </c>
      <c r="AX70" s="757" t="str">
        <v>ㆷ</v>
      </c>
      <c r="AY70" s="757" t="str">
        <v>ˉ</v>
      </c>
      <c r="AZ70" s="757" t="str">
        <v>ˉ</v>
      </c>
      <c r="BA70" s="757" t="str">
        <v>^</v>
      </c>
      <c r="BB70" s="757" t="str">
        <v>ˋ</v>
      </c>
      <c r="BC70" s="757" t="str">
        <v>ˇ</v>
      </c>
      <c r="BD70" s="757" t="str">
        <v>ˊ</v>
      </c>
      <c r="BE70" s="757" t="str">
        <v>ˊ</v>
      </c>
      <c r="BF70" s="757" t="str">
        <v>˙</v>
      </c>
      <c r="BG70" s="757" t="str">
        <v>入</v>
      </c>
      <c r="BH70" s="757" t="str">
        <v>ㄥ</v>
      </c>
      <c r="BI70" s="757" t="str">
        <v>ñ</v>
      </c>
      <c r="BJ70" s="316"/>
      <c r="BK70" s="316"/>
    </row>
    <row r="71" spans="1:109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AK71" s="316"/>
      <c r="AL71" s="316"/>
      <c r="AM71" s="316"/>
      <c r="AN71" s="316"/>
      <c r="AO71" s="316"/>
      <c r="AP71" s="316"/>
      <c r="AQ71" s="316"/>
      <c r="AR71" s="316"/>
      <c r="AS71" s="316"/>
      <c r="AT71" s="316"/>
      <c r="AU71" s="316"/>
      <c r="AV71" s="316"/>
      <c r="AW71" s="316"/>
      <c r="AX71" s="316"/>
      <c r="AY71" s="316"/>
      <c r="AZ71" s="316"/>
      <c r="BA71" s="316"/>
      <c r="BB71" s="316"/>
      <c r="BC71" s="316"/>
      <c r="BD71" s="316"/>
      <c r="BE71" s="316"/>
      <c r="BF71" s="316"/>
      <c r="BG71" s="316"/>
      <c r="BH71" s="316"/>
      <c r="BI71" s="316"/>
      <c r="BJ71" s="316"/>
      <c r="BK71" s="316"/>
    </row>
    <row r="72" spans="1:109" ht="39">
      <c r="B72" s="770" t="str">
        <f>_xlfn.CONCAT("  alphabet: """,B69:AX69,BF69:BH69,AY69:BE69,"""")</f>
        <v xml:space="preserve">  alphabet: "a!1qs2wxNEedYyhnRrfvc8uKj,ik9l*UJ&lt;I(Lmp/M0;Oobtgz7.?:[5346]"</v>
      </c>
      <c r="C72" s="770"/>
      <c r="D72" s="770"/>
      <c r="E72" s="770"/>
      <c r="F72" s="770"/>
      <c r="G72" s="770"/>
      <c r="H72" s="770"/>
      <c r="I72" s="770"/>
      <c r="J72" s="770"/>
      <c r="K72" s="770"/>
      <c r="L72" s="770"/>
      <c r="M72" s="770"/>
      <c r="N72" s="770"/>
      <c r="O72" s="770"/>
      <c r="P72" s="770"/>
      <c r="Q72" s="770"/>
      <c r="R72" s="770"/>
      <c r="S72" s="770"/>
      <c r="T72" s="770"/>
      <c r="U72" s="770"/>
      <c r="V72" s="770"/>
      <c r="W72" s="770"/>
      <c r="X72" s="770"/>
      <c r="Y72" s="770"/>
      <c r="Z72" s="770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316"/>
      <c r="BK72" s="316"/>
    </row>
    <row r="73" spans="1:109" ht="45" customHeight="1">
      <c r="B73" s="770" t="str">
        <f>_xlfn.CONCAT("  initials: """,B69:AX69,BF69:BH69,"""")</f>
        <v xml:space="preserve">  initials: "a!1qs2wxNEedYyhnRrfvc8uKj,ik9l*UJ&lt;I(Lmp/M0;Oobtgz7.?"</v>
      </c>
      <c r="C73" s="770"/>
      <c r="D73" s="770"/>
      <c r="E73" s="770"/>
      <c r="F73" s="770"/>
      <c r="G73" s="770"/>
      <c r="H73" s="770"/>
      <c r="I73" s="770"/>
      <c r="J73" s="770"/>
      <c r="K73" s="770"/>
      <c r="L73" s="770"/>
      <c r="M73" s="770"/>
      <c r="N73" s="770"/>
      <c r="O73" s="770"/>
      <c r="P73" s="770"/>
      <c r="Q73" s="770"/>
      <c r="R73" s="770"/>
      <c r="S73" s="770"/>
      <c r="T73" s="770"/>
      <c r="U73" s="770"/>
      <c r="V73" s="770"/>
      <c r="W73" s="770"/>
      <c r="X73" s="770"/>
      <c r="Y73" s="770"/>
      <c r="Z73" s="770"/>
      <c r="AA73" s="770"/>
      <c r="AB73" s="770"/>
      <c r="AC73" s="770"/>
      <c r="AD73" s="770"/>
      <c r="AE73" s="770"/>
      <c r="AF73" s="770"/>
      <c r="AG73" s="770"/>
      <c r="AH73" s="770"/>
      <c r="AI73" s="770"/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/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316"/>
      <c r="BK73" s="316"/>
    </row>
    <row r="74" spans="1:109" ht="45" customHeight="1">
      <c r="A74" s="762">
        <f xml:space="preserve"> LEN(B87)</f>
        <v>60</v>
      </c>
      <c r="B74" s="770" t="str">
        <f>_xlfn.CONCAT("  finals: """,AY69:BE69,"""")</f>
        <v xml:space="preserve">  finals: ":[5346]"</v>
      </c>
      <c r="C74" s="770"/>
      <c r="D74" s="770"/>
      <c r="E74" s="770"/>
      <c r="F74" s="770"/>
      <c r="G74" s="770"/>
      <c r="H74" s="770"/>
      <c r="I74" s="770"/>
      <c r="J74" s="770"/>
      <c r="K74" s="770"/>
      <c r="L74" s="770"/>
      <c r="M74" s="770"/>
      <c r="N74" s="770"/>
      <c r="O74" s="770"/>
      <c r="P74" s="770"/>
      <c r="Q74" s="770"/>
      <c r="R74" s="770"/>
      <c r="S74" s="770"/>
      <c r="T74" s="770"/>
      <c r="U74" s="770"/>
      <c r="V74" s="770"/>
      <c r="W74" s="770"/>
      <c r="X74" s="770"/>
      <c r="Y74" s="770"/>
      <c r="Z74" s="770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316"/>
      <c r="BK74" s="316"/>
    </row>
    <row r="75" spans="1:109" ht="45" customHeight="1">
      <c r="A75" s="762">
        <f xml:space="preserve"> LEN(B88)</f>
        <v>60</v>
      </c>
      <c r="B75" s="316"/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6"/>
      <c r="AC75" s="316"/>
      <c r="AD75" s="316"/>
      <c r="AE75" s="316"/>
      <c r="AF75" s="316"/>
      <c r="AG75" s="316"/>
      <c r="AH75" s="316"/>
      <c r="AI75" s="316"/>
      <c r="AJ75" s="316"/>
      <c r="AK75" s="316"/>
      <c r="AL75" s="316"/>
      <c r="AM75" s="316"/>
      <c r="AN75" s="316"/>
      <c r="AO75" s="316"/>
      <c r="AP75" s="316"/>
      <c r="AQ75" s="316"/>
      <c r="AR75" s="316"/>
      <c r="AS75" s="316"/>
      <c r="AT75" s="316"/>
      <c r="AU75" s="316"/>
      <c r="AV75" s="316"/>
      <c r="AW75" s="316"/>
      <c r="AX75" s="316"/>
      <c r="AY75" s="316"/>
      <c r="AZ75" s="316"/>
      <c r="BA75" s="316"/>
      <c r="BB75" s="316"/>
      <c r="BC75" s="316"/>
      <c r="BD75" s="316"/>
      <c r="BE75" s="316"/>
      <c r="BF75" s="316"/>
      <c r="BG75" s="316"/>
      <c r="BH75" s="316"/>
      <c r="BI75" s="316"/>
      <c r="BJ75" s="316"/>
      <c r="BK75" s="316"/>
    </row>
    <row r="76" spans="1:109" ht="45" customHeight="1">
      <c r="B76" s="316"/>
      <c r="C76" s="316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6"/>
      <c r="AC76" s="316"/>
      <c r="AD76" s="316"/>
      <c r="AE76" s="316"/>
      <c r="AF76" s="316"/>
      <c r="AG76" s="316"/>
      <c r="AH76" s="316"/>
      <c r="AI76" s="316"/>
      <c r="AJ76" s="316"/>
      <c r="AK76" s="316"/>
      <c r="AL76" s="316"/>
      <c r="AM76" s="316"/>
      <c r="AN76" s="316"/>
      <c r="AO76" s="316"/>
      <c r="AP76" s="316"/>
      <c r="AQ76" s="316"/>
      <c r="AR76" s="316"/>
      <c r="AS76" s="316"/>
      <c r="AT76" s="316"/>
      <c r="AU76" s="316"/>
      <c r="AV76" s="316"/>
      <c r="AW76" s="316"/>
      <c r="AX76" s="316"/>
      <c r="AY76" s="316"/>
      <c r="AZ76" s="316"/>
      <c r="BA76" s="316"/>
      <c r="BB76" s="316"/>
      <c r="BC76" s="316"/>
      <c r="BD76" s="316"/>
      <c r="BE76" s="316"/>
      <c r="BF76" s="316"/>
      <c r="BG76" s="316"/>
      <c r="BH76" s="316"/>
      <c r="BI76" s="316"/>
      <c r="BJ76" s="316"/>
      <c r="BK76" s="316"/>
    </row>
    <row r="77" spans="1:109" ht="39">
      <c r="B77" s="761" t="str">
        <f>_xlfn.CONCAT(_xlfn.ANCHORARRAY(B68))</f>
        <v>mBbpndtlŋvgkZzcsJjCShaiwueOoIURDXEQxyMNGY@AWHPTKV176532809L*</v>
      </c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09" ht="39">
      <c r="B78" s="761" t="str">
        <f>_xlfn.CONCAT(_xlfn.ANCHORARRAY(B69))</f>
        <v>a!1qs2wxNEedYyhnRrfvc8uKj,ik9l*UJ&lt;I(Lmp/M0;Oobtgz:[5346]7.?-</v>
      </c>
      <c r="C78" s="316"/>
      <c r="D78" s="316"/>
      <c r="E78" s="316"/>
      <c r="F78" s="316"/>
      <c r="G78" s="316"/>
      <c r="H78" s="316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6"/>
      <c r="AC78" s="316"/>
      <c r="AD78" s="316"/>
      <c r="AE78" s="316"/>
      <c r="AF78" s="316"/>
      <c r="AG78" s="316"/>
      <c r="AH78" s="316"/>
      <c r="AI78" s="316"/>
      <c r="AJ78" s="316"/>
      <c r="AK78" s="316"/>
      <c r="AL78" s="316"/>
      <c r="AM78" s="316"/>
      <c r="AN78" s="316"/>
      <c r="AO78" s="316"/>
      <c r="AP78" s="316"/>
      <c r="AQ78" s="316"/>
      <c r="AR78" s="316"/>
      <c r="AS78" s="316"/>
      <c r="AT78" s="316"/>
      <c r="AU78" s="316"/>
      <c r="AV78" s="316"/>
      <c r="AW78" s="316"/>
      <c r="AX78" s="316"/>
      <c r="AY78" s="316"/>
      <c r="AZ78" s="316"/>
      <c r="BA78" s="316"/>
      <c r="BB78" s="316"/>
      <c r="BC78" s="316"/>
      <c r="BD78" s="316"/>
      <c r="BE78" s="316"/>
      <c r="BF78" s="316"/>
      <c r="BG78" s="316"/>
      <c r="BH78" s="316"/>
      <c r="BI78" s="316"/>
      <c r="BJ78" s="316"/>
      <c r="BK78" s="316"/>
    </row>
    <row r="79" spans="1:109" ht="39">
      <c r="B79" s="761" t="str">
        <f xml:space="preserve"> _xlfn.CONCAT("    - xlit|", B77, "|", B78,"|")</f>
        <v xml:space="preserve">    - xlit|mBbpndtlŋvgkZzcsJjCShaiwueOoIURDXEQxyMNGY@AWHPTKV176532809L*|a!1qs2wxNEedYyhnRrfvc8uKj,ik9l*UJ&lt;I(Lmp/M0;Oobtgz:[5346]7.?-|</v>
      </c>
      <c r="C79" s="316"/>
      <c r="D79" s="316"/>
      <c r="E79" s="316"/>
      <c r="F79" s="316"/>
      <c r="G79" s="316"/>
      <c r="H79" s="316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6"/>
      <c r="AC79" s="316"/>
      <c r="AD79" s="316"/>
      <c r="AE79" s="316"/>
      <c r="AF79" s="316"/>
      <c r="AG79" s="316"/>
      <c r="AH79" s="316"/>
      <c r="AI79" s="316"/>
      <c r="AJ79" s="316"/>
      <c r="AK79" s="316"/>
      <c r="AL79" s="316"/>
      <c r="AM79" s="316"/>
      <c r="AN79" s="316"/>
      <c r="AO79" s="316"/>
      <c r="AP79" s="316"/>
      <c r="AQ79" s="316"/>
      <c r="AR79" s="316"/>
      <c r="AS79" s="316"/>
      <c r="AT79" s="316"/>
      <c r="AU79" s="316"/>
      <c r="AV79" s="316"/>
      <c r="AW79" s="316"/>
      <c r="AX79" s="316"/>
      <c r="AY79" s="316"/>
      <c r="AZ79" s="316"/>
      <c r="BA79" s="316"/>
      <c r="BB79" s="316"/>
      <c r="BC79" s="316"/>
      <c r="BD79" s="316"/>
      <c r="BE79" s="316"/>
      <c r="BF79" s="316"/>
      <c r="BG79" s="316"/>
      <c r="BH79" s="316"/>
      <c r="BI79" s="316"/>
      <c r="BJ79" s="316"/>
      <c r="BK79" s="316"/>
    </row>
    <row r="80" spans="1:109">
      <c r="A80" s="762">
        <f xml:space="preserve"> LEN(B93)</f>
        <v>49</v>
      </c>
      <c r="B80" s="316"/>
      <c r="C80" s="316"/>
      <c r="D80" s="316"/>
      <c r="E80" s="316"/>
      <c r="F80" s="316"/>
      <c r="G80" s="316"/>
      <c r="H80" s="316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6"/>
      <c r="AC80" s="316"/>
      <c r="AD80" s="316"/>
      <c r="AE80" s="316"/>
      <c r="AF80" s="316"/>
      <c r="AG80" s="316"/>
      <c r="AH80" s="316"/>
      <c r="AI80" s="316"/>
      <c r="AJ80" s="316"/>
      <c r="AK80" s="316"/>
      <c r="AL80" s="316"/>
      <c r="AM80" s="316"/>
      <c r="AN80" s="316"/>
      <c r="AO80" s="316"/>
      <c r="AP80" s="316"/>
      <c r="AQ80" s="316"/>
      <c r="AR80" s="316"/>
      <c r="AS80" s="316"/>
      <c r="AT80" s="316"/>
      <c r="AU80" s="316"/>
      <c r="AV80" s="316"/>
      <c r="AW80" s="316"/>
      <c r="AX80" s="316"/>
      <c r="AY80" s="316"/>
      <c r="AZ80" s="316"/>
      <c r="BA80" s="316"/>
      <c r="BB80" s="316"/>
      <c r="BC80" s="316"/>
      <c r="BD80" s="316"/>
      <c r="BE80" s="316"/>
      <c r="BF80" s="316"/>
      <c r="BG80" s="316"/>
      <c r="BH80" s="316"/>
      <c r="BI80" s="316"/>
      <c r="BJ80" s="316"/>
      <c r="BK80" s="316"/>
    </row>
    <row r="81" spans="1:63">
      <c r="A81" s="762">
        <f xml:space="preserve"> LEN(B94)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 ht="39">
      <c r="B82" s="761" t="str">
        <f>_xlfn.CONCAT(B69:AX69)</f>
        <v>a!1qs2wxNEedYyhnRrfvc8uKj,ik9l*UJ&lt;I(Lmp/M0;Oobtgz</v>
      </c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1" t="str">
        <f>_xlfn.CONCAT(B70:AX70)</f>
        <v>ㄇㆠㄅㄆㄋㄉㄊㄌㄫㆣㄍㄎㆡㄗㄘㄙㆢㄐㄑㄒㄏㄚㄧㆨㄨㆤㆦㄜㄞㄠㆩㆪㆫㆥㆧㆮㆯㆬㄣㆭㆰㄢㄤㆱㆲㆴㆵㆻㆷ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</row>
    <row r="84" spans="1:63" ht="39">
      <c r="B84" s="761" t="str">
        <f xml:space="preserve"> _xlfn.CONCAT("    - xlit|", B82, "|", B83,"|")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</row>
    <row r="85" spans="1:63" ht="39">
      <c r="B85" s="770"/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</row>
    <row r="86" spans="1:63" ht="39">
      <c r="A86" s="762"/>
      <c r="B86" s="770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</row>
    <row r="87" spans="1:63" ht="39">
      <c r="A87" s="762"/>
      <c r="B87" s="761" t="str">
        <f>_xlfn.CONCAT(_xlfn.ANCHORARRAY(B69))</f>
        <v>a!1qs2wxNEedYyhnRrfvc8uKj,ik9l*UJ&lt;I(Lmp/M0;Oobtgz:[5346]7.?-</v>
      </c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</row>
    <row r="88" spans="1:63" ht="39">
      <c r="B88" s="761" t="str">
        <f>_xlfn.CONCAT(_xlfn.ANCHORARRAY(B70))</f>
        <v>ㄇㆠㄅㄆㄋㄉㄊㄌㄫㆣㄍㄎㆡㄗㄘㄙㆢㄐㄑㄒㄏㄚㄧㆨㄨㆤㆦㄜㄞㄠㆩㆪㆫㆥㆧㆮㆯㆬㄣㆭㆰㄢㄤㆱㆲㆴㆵㆻㆷˉˉ^ˋˇˊˊ˙入ㄥñ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</row>
    <row r="89" spans="1:63" ht="39">
      <c r="B89" s="761" t="str">
        <f xml:space="preserve"> _xlfn.CONCAT("    - xlit|", B87, "|", B88,"|")</f>
        <v xml:space="preserve">    - xlit|a!1qs2wxNEedYyhnRrfvc8uKj,ik9l*UJ&lt;I(Lmp/M0;Oobtgz:[5346]7.?-|ㄇㆠㄅㄆㄋㄉㄊㄌㄫㆣㄍㄎㆡㄗㄘㄙㆢㄐㄑㄒㄏㄚㄧㆨㄨㆤㆦㄜㄞㄠㆩㆪㆫㆥㆧㆮㆯㆬㄣㆭㆰㄢㄤㆱㆲㆴㆵㆻㆷˉˉ^ˋˇˊˊ˙入ㄥñ|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70"/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0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>
      <c r="A92" s="762">
        <f ca="1" xml:space="preserve"> LEN(B104)</f>
        <v>49</v>
      </c>
      <c r="B92" s="316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>
      <c r="A93" s="762">
        <f ca="1" xml:space="preserve"> LEN(B105)</f>
        <v>49</v>
      </c>
      <c r="B93" s="755" t="s">
        <v>8770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>
      <c r="B94" s="755" t="s">
        <v>8771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>
      <c r="B95" s="316"/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 t="s">
        <v>190</v>
      </c>
      <c r="AV95" s="316" t="s">
        <v>30</v>
      </c>
      <c r="AW95" s="316" t="s">
        <v>184</v>
      </c>
      <c r="AX95" s="316" t="s">
        <v>179</v>
      </c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>
      <c r="B96" s="316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G96" s="316"/>
      <c r="BH96" s="316"/>
      <c r="BI96" s="316"/>
    </row>
    <row r="97" spans="2:61">
      <c r="B97" s="750">
        <v>1</v>
      </c>
      <c r="C97" s="750">
        <v>2</v>
      </c>
      <c r="D97" s="750">
        <v>3</v>
      </c>
      <c r="E97" s="750">
        <v>4</v>
      </c>
      <c r="F97" s="750">
        <v>5</v>
      </c>
      <c r="G97" s="750">
        <v>6</v>
      </c>
      <c r="H97" s="750">
        <v>7</v>
      </c>
      <c r="I97" s="750">
        <v>8</v>
      </c>
      <c r="J97" s="750">
        <v>9</v>
      </c>
      <c r="K97" s="750">
        <v>10</v>
      </c>
      <c r="L97" s="750">
        <v>11</v>
      </c>
      <c r="M97" s="750">
        <v>12</v>
      </c>
      <c r="N97" s="750">
        <v>13</v>
      </c>
      <c r="O97" s="750">
        <v>14</v>
      </c>
      <c r="P97" s="750">
        <v>15</v>
      </c>
      <c r="Q97" s="750">
        <v>16</v>
      </c>
      <c r="R97" s="750">
        <v>17</v>
      </c>
      <c r="S97" s="751">
        <v>18</v>
      </c>
      <c r="T97" s="750">
        <v>19</v>
      </c>
      <c r="U97" s="750">
        <v>20</v>
      </c>
      <c r="V97" s="750">
        <v>21</v>
      </c>
      <c r="W97" s="750">
        <v>22</v>
      </c>
      <c r="X97" s="750">
        <v>23</v>
      </c>
      <c r="Y97" s="750">
        <v>24</v>
      </c>
      <c r="Z97" s="750">
        <v>25</v>
      </c>
      <c r="AA97" s="750">
        <v>26</v>
      </c>
      <c r="AB97" s="750">
        <v>27</v>
      </c>
      <c r="AC97" s="750">
        <v>28</v>
      </c>
      <c r="AD97" s="750">
        <v>29</v>
      </c>
      <c r="AE97" s="750">
        <v>30</v>
      </c>
      <c r="AF97" s="750">
        <v>31</v>
      </c>
      <c r="AG97" s="750">
        <v>32</v>
      </c>
      <c r="AH97" s="752">
        <v>33</v>
      </c>
      <c r="AI97" s="752">
        <v>34</v>
      </c>
      <c r="AJ97" s="752">
        <v>35</v>
      </c>
      <c r="AK97" s="752">
        <v>36</v>
      </c>
      <c r="AL97" s="753">
        <v>37</v>
      </c>
      <c r="AM97" s="752">
        <v>38</v>
      </c>
      <c r="AN97" s="752">
        <v>39</v>
      </c>
      <c r="AO97" s="752">
        <v>40</v>
      </c>
      <c r="AP97" s="752">
        <v>41</v>
      </c>
      <c r="AQ97" s="752">
        <v>42</v>
      </c>
      <c r="AR97" s="752">
        <v>43</v>
      </c>
      <c r="AS97" s="752">
        <v>44</v>
      </c>
      <c r="AT97" s="752">
        <v>45</v>
      </c>
      <c r="AU97" s="752">
        <v>46</v>
      </c>
      <c r="AV97" s="752">
        <v>47</v>
      </c>
      <c r="AW97" s="752">
        <v>48</v>
      </c>
      <c r="AX97" s="752">
        <v>49</v>
      </c>
      <c r="AY97" s="752">
        <v>50</v>
      </c>
      <c r="AZ97" s="752">
        <v>51</v>
      </c>
      <c r="BA97" s="752">
        <v>52</v>
      </c>
      <c r="BB97" s="752">
        <v>53</v>
      </c>
      <c r="BC97" s="752">
        <v>54</v>
      </c>
      <c r="BD97" s="752">
        <v>55</v>
      </c>
      <c r="BE97" s="752">
        <v>56</v>
      </c>
      <c r="BF97" s="752">
        <v>57</v>
      </c>
      <c r="BG97" s="752">
        <v>58</v>
      </c>
      <c r="BH97" s="752">
        <v>59</v>
      </c>
      <c r="BI97" s="752">
        <v>60</v>
      </c>
    </row>
    <row r="98" spans="2:61">
      <c r="B98" s="754" t="str" cm="1">
        <f t="array" aca="1" ref="B98" ca="1" xml:space="preserve"> MID($B$93, INDIRECT( ADDRESS(ROW()-1, COLUMN()) ),1)</f>
        <v>1</v>
      </c>
      <c r="C98" s="754" t="str" cm="1">
        <f t="array" aca="1" ref="C98" ca="1" xml:space="preserve"> MID($B$93, INDIRECT( ADDRESS(ROW()-1, COLUMN()) ),1)</f>
        <v>!</v>
      </c>
      <c r="D98" s="754" t="str" cm="1">
        <f t="array" aca="1" ref="D98" ca="1" xml:space="preserve"> MID($B$93, INDIRECT( ADDRESS(ROW()-1, COLUMN()) ),1)</f>
        <v>q</v>
      </c>
      <c r="E98" s="754" t="str" cm="1">
        <f t="array" aca="1" ref="E98" ca="1" xml:space="preserve"> MID($B$93, INDIRECT( ADDRESS(ROW()-1, COLUMN()) ),1)</f>
        <v>a</v>
      </c>
      <c r="F98" s="754" t="str" cm="1">
        <f t="array" aca="1" ref="F98" ca="1" xml:space="preserve"> MID($B$93, INDIRECT( ADDRESS(ROW()-1, COLUMN()) ),1)</f>
        <v>2</v>
      </c>
      <c r="G98" s="754" t="str" cm="1">
        <f t="array" aca="1" ref="G98" ca="1" xml:space="preserve"> MID($B$93, INDIRECT( ADDRESS(ROW()-1, COLUMN()) ),1)</f>
        <v>w</v>
      </c>
      <c r="H98" s="754" t="str" cm="1">
        <f t="array" aca="1" ref="H98" ca="1" xml:space="preserve"> MID($B$93, INDIRECT( ADDRESS(ROW()-1, COLUMN()) ),1)</f>
        <v>s</v>
      </c>
      <c r="I98" s="754" t="str" cm="1">
        <f t="array" aca="1" ref="I98" ca="1" xml:space="preserve"> MID($B$93, INDIRECT( ADDRESS(ROW()-1, COLUMN()) ),1)</f>
        <v>x</v>
      </c>
      <c r="J98" s="754" t="str" cm="1">
        <f t="array" aca="1" ref="J98" ca="1" xml:space="preserve"> MID($B$93, INDIRECT( ADDRESS(ROW()-1, COLUMN()) ),1)</f>
        <v>e</v>
      </c>
      <c r="K98" s="754" t="str" cm="1">
        <f t="array" aca="1" ref="K98" ca="1" xml:space="preserve"> MID($B$93, INDIRECT( ADDRESS(ROW()-1, COLUMN()) ),1)</f>
        <v>E</v>
      </c>
      <c r="L98" s="754" t="str" cm="1">
        <f t="array" aca="1" ref="L98" ca="1" xml:space="preserve"> MID($B$93, INDIRECT( ADDRESS(ROW()-1, COLUMN()) ),1)</f>
        <v>d</v>
      </c>
      <c r="M98" s="754" t="s">
        <v>8772</v>
      </c>
      <c r="N98" s="754" t="str" cm="1">
        <f t="array" aca="1" ref="N98" ca="1" xml:space="preserve"> MID($B$93, INDIRECT( ADDRESS(ROW()-1, COLUMN()) ),1)</f>
        <v>c</v>
      </c>
      <c r="O98" s="754" t="str" cm="1">
        <f t="array" aca="1" ref="O98" ca="1" xml:space="preserve"> MID($B$93, INDIRECT( ADDRESS(ROW()-1, COLUMN()) ),1)</f>
        <v>r</v>
      </c>
      <c r="P98" s="754" t="str" cm="1">
        <f t="array" aca="1" ref="P98" ca="1" xml:space="preserve"> MID($B$93, INDIRECT( ADDRESS(ROW()-1, COLUMN()) ),1)</f>
        <v>R</v>
      </c>
      <c r="Q98" s="754" t="str" cm="1">
        <f t="array" aca="1" ref="Q98" ca="1" xml:space="preserve"> MID($B$93, INDIRECT( ADDRESS(ROW()-1, COLUMN()) ),1)</f>
        <v>f</v>
      </c>
      <c r="R98" s="754" t="str" cm="1">
        <f t="array" aca="1" ref="R98" ca="1" xml:space="preserve"> MID($B$93, INDIRECT( ADDRESS(ROW()-1, COLUMN()) ),1)</f>
        <v>v</v>
      </c>
      <c r="S98" s="754" t="str" cm="1">
        <f t="array" aca="1" ref="S98" ca="1" xml:space="preserve"> MID($B$93, INDIRECT( ADDRESS(ROW()-1, COLUMN()) ),1)</f>
        <v>y</v>
      </c>
      <c r="T98" s="754" t="str" cm="1">
        <f t="array" aca="1" ref="T98" ca="1" xml:space="preserve"> MID($B$93, INDIRECT( ADDRESS(ROW()-1, COLUMN()) ),1)</f>
        <v>Y</v>
      </c>
      <c r="U98" s="754" t="str" cm="1">
        <f t="array" aca="1" ref="U98" ca="1" xml:space="preserve"> MID($B$93, INDIRECT( ADDRESS(ROW()-1, COLUMN()) ),1)</f>
        <v>h</v>
      </c>
      <c r="V98" s="754" t="str" cm="1">
        <f t="array" aca="1" ref="V98" ca="1" xml:space="preserve"> MID($B$93, INDIRECT( ADDRESS(ROW()-1, COLUMN()) ),1)</f>
        <v>n</v>
      </c>
      <c r="W98" s="754" t="str" cm="1">
        <f t="array" aca="1" ref="W98" ca="1" xml:space="preserve"> MID($B$93, INDIRECT( ADDRESS(ROW()-1, COLUMN()) ),1)</f>
        <v>u</v>
      </c>
      <c r="X98" s="754" t="str" cm="1">
        <f t="array" aca="1" ref="X98" ca="1" xml:space="preserve"> MID($B$93, INDIRECT( ADDRESS(ROW()-1, COLUMN()) ),1)</f>
        <v>U</v>
      </c>
      <c r="Y98" s="754" t="str" cm="1">
        <f t="array" aca="1" ref="Y98" ca="1" xml:space="preserve"> MID($B$93, INDIRECT( ADDRESS(ROW()-1, COLUMN()) ),1)</f>
        <v>j</v>
      </c>
      <c r="Z98" s="754" t="str" cm="1">
        <f t="array" aca="1" ref="Z98" ca="1" xml:space="preserve"> MID($B$93, INDIRECT( ADDRESS(ROW()-1, COLUMN()) ),1)</f>
        <v>J</v>
      </c>
      <c r="AA98" s="754" t="str" cm="1">
        <f t="array" aca="1" ref="AA98" ca="1" xml:space="preserve"> MID($B$93, INDIRECT( ADDRESS(ROW()-1, COLUMN()) ),1)</f>
        <v>8</v>
      </c>
      <c r="AB98" s="754" t="str" cm="1">
        <f t="array" aca="1" ref="AB98" ca="1" xml:space="preserve"> MID($B$93, INDIRECT( ADDRESS(ROW()-1, COLUMN()) ),1)</f>
        <v>*</v>
      </c>
      <c r="AC98" s="754" t="str" cm="1">
        <f t="array" aca="1" ref="AC98" ca="1" xml:space="preserve"> MID($B$93, INDIRECT( ADDRESS(ROW()-1, COLUMN()) ),1)</f>
        <v>i</v>
      </c>
      <c r="AD98" s="754" t="str" cm="1">
        <f t="array" aca="1" ref="AD98" ca="1" xml:space="preserve"> MID($B$93, INDIRECT( ADDRESS(ROW()-1, COLUMN()) ),1)</f>
        <v>I</v>
      </c>
      <c r="AE98" s="754" t="str" cm="1">
        <f t="array" aca="1" ref="AE98" ca="1" xml:space="preserve"> MID($B$93, INDIRECT( ADDRESS(ROW()-1, COLUMN()) ),1)</f>
        <v>k</v>
      </c>
      <c r="AF98" s="754" t="str" cm="1">
        <f t="array" aca="1" ref="AF98" ca="1" xml:space="preserve"> MID($B$93, INDIRECT( ADDRESS(ROW()-1, COLUMN()) ),1)</f>
        <v>,</v>
      </c>
      <c r="AG98" s="754" t="str" cm="1">
        <f t="array" aca="1" ref="AG98" ca="1" xml:space="preserve"> MID($B$93, INDIRECT( ADDRESS(ROW()-1, COLUMN()) ),1)</f>
        <v>&lt;</v>
      </c>
      <c r="AH98" s="754" t="str" cm="1">
        <f t="array" aca="1" ref="AH98" ca="1" xml:space="preserve"> MID($B$93, INDIRECT( ADDRESS(ROW()-1, COLUMN()) ),1)</f>
        <v>9</v>
      </c>
      <c r="AI98" s="754" t="str" cm="1">
        <f t="array" aca="1" ref="AI98" ca="1" xml:space="preserve"> MID($B$93, INDIRECT( ADDRESS(ROW()-1, COLUMN()) ),1)</f>
        <v>(</v>
      </c>
      <c r="AJ98" s="754" t="str" cm="1">
        <f t="array" aca="1" ref="AJ98" ca="1" xml:space="preserve"> MID($B$93, INDIRECT( ADDRESS(ROW()-1, COLUMN()) ),1)</f>
        <v>l</v>
      </c>
      <c r="AK98" s="754" t="str" cm="1">
        <f t="array" aca="1" ref="AK98" ca="1" xml:space="preserve"> MID($B$93, INDIRECT( ADDRESS(ROW()-1, COLUMN()) ),1)</f>
        <v>L</v>
      </c>
      <c r="AL98" s="754" t="str" cm="1">
        <f t="array" aca="1" ref="AL98" ca="1" xml:space="preserve"> MID($B$93, INDIRECT( ADDRESS(ROW()-1, COLUMN()) ),1)</f>
        <v>;</v>
      </c>
      <c r="AM98" s="754" t="str" cm="1">
        <f t="array" aca="1" ref="AM98" ca="1" xml:space="preserve"> MID($B$93, INDIRECT( ADDRESS(ROW()-1, COLUMN()) ),1)</f>
        <v>o</v>
      </c>
      <c r="AN98" s="754" t="str" cm="1">
        <f t="array" aca="1" ref="AN98" ca="1" xml:space="preserve"> MID($B$93, INDIRECT( ADDRESS(ROW()-1, COLUMN()) ),1)</f>
        <v>M</v>
      </c>
      <c r="AO98" s="754" t="str" cm="1">
        <f t="array" aca="1" ref="AO98" ca="1" xml:space="preserve"> MID($B$93, INDIRECT( ADDRESS(ROW()-1, COLUMN()) ),1)</f>
        <v>O</v>
      </c>
      <c r="AP98" s="754" t="str" cm="1">
        <f t="array" aca="1" ref="AP98" ca="1" xml:space="preserve"> MID($B$93, INDIRECT( ADDRESS(ROW()-1, COLUMN()) ),1)</f>
        <v>0</v>
      </c>
      <c r="AQ98" s="754" t="str" cm="1">
        <f t="array" aca="1" ref="AQ98" ca="1" xml:space="preserve"> MID($B$93, INDIRECT( ADDRESS(ROW()-1, COLUMN()) ),1)</f>
        <v>m</v>
      </c>
      <c r="AR98" s="754" t="str" cm="1">
        <f t="array" aca="1" ref="AR98" ca="1" xml:space="preserve"> MID($B$93, INDIRECT( ADDRESS(ROW()-1, COLUMN()) ),1)</f>
        <v>p</v>
      </c>
      <c r="AS98" s="754" t="str" cm="1">
        <f t="array" aca="1" ref="AS98" ca="1" xml:space="preserve"> MID($B$93, INDIRECT( ADDRESS(ROW()-1, COLUMN()) ),1)</f>
        <v>/</v>
      </c>
      <c r="AT98" s="754" t="str" cm="1">
        <f t="array" aca="1" ref="AT98" ca="1" xml:space="preserve"> MID($B$93, INDIRECT( ADDRESS(ROW()-1, COLUMN()) ),1)</f>
        <v>K</v>
      </c>
      <c r="AU98" s="754" t="s">
        <v>8773</v>
      </c>
      <c r="AV98" s="754" t="s">
        <v>8774</v>
      </c>
      <c r="AW98" s="754" t="s">
        <v>8775</v>
      </c>
      <c r="AX98" s="754" t="s">
        <v>8776</v>
      </c>
      <c r="AY98" s="754" t="str" cm="1">
        <f t="array" aca="1" ref="AY98" ca="1" xml:space="preserve"> MID($B$93, INDIRECT( ADDRESS(ROW()-1, COLUMN()) ),1)</f>
        <v/>
      </c>
      <c r="AZ98" s="754" t="str" cm="1">
        <f t="array" aca="1" ref="AZ98" ca="1" xml:space="preserve"> MID($B$93, INDIRECT( ADDRESS(ROW()-1, COLUMN()) ),1)</f>
        <v/>
      </c>
      <c r="BA98" s="754" t="str" cm="1">
        <f t="array" aca="1" ref="BA98" ca="1" xml:space="preserve"> MID($B$93, INDIRECT( ADDRESS(ROW()-1, COLUMN()) ),1)</f>
        <v/>
      </c>
      <c r="BB98" s="754" t="str" cm="1">
        <f t="array" aca="1" ref="BB98" ca="1" xml:space="preserve"> MID($B$93, INDIRECT( ADDRESS(ROW()-1, COLUMN()) ),1)</f>
        <v/>
      </c>
      <c r="BC98" s="754" t="str" cm="1">
        <f t="array" aca="1" ref="BC98" ca="1" xml:space="preserve"> MID($B$93, INDIRECT( ADDRESS(ROW()-1, COLUMN()) ),1)</f>
        <v/>
      </c>
      <c r="BD98" s="754" t="str" cm="1">
        <f t="array" aca="1" ref="BD98" ca="1" xml:space="preserve"> MID($B$93, INDIRECT( ADDRESS(ROW()-1, COLUMN()) ),1)</f>
        <v/>
      </c>
      <c r="BE98" s="754" t="str" cm="1">
        <f t="array" aca="1" ref="BE98" ca="1" xml:space="preserve"> MID($B$93, INDIRECT( ADDRESS(ROW()-1, COLUMN()) ),1)</f>
        <v/>
      </c>
      <c r="BF98" s="754" t="str" cm="1">
        <f t="array" aca="1" ref="BF98" ca="1" xml:space="preserve"> MID($B$93, INDIRECT( ADDRESS(ROW()-1, COLUMN()) ),1)</f>
        <v/>
      </c>
      <c r="BG98" s="754" t="str" cm="1">
        <f t="array" aca="1" ref="BG98" ca="1" xml:space="preserve"> MID($B$93, INDIRECT( ADDRESS(ROW()-1, COLUMN()) ),1)</f>
        <v/>
      </c>
      <c r="BH98" s="754" t="str" cm="1">
        <f t="array" aca="1" ref="BH98" ca="1" xml:space="preserve"> MID($B$93, INDIRECT( ADDRESS(ROW()-1, COLUMN()) ),1)</f>
        <v/>
      </c>
      <c r="BI98" s="754" t="str" cm="1">
        <f t="array" aca="1" ref="BI98" ca="1" xml:space="preserve"> MID($B$93, INDIRECT( ADDRESS(ROW()-1, COLUMN()) ),1)</f>
        <v/>
      </c>
    </row>
    <row r="99" spans="2:61">
      <c r="B99" s="754" t="str" cm="1">
        <f t="array" aca="1" ref="B99" ca="1" xml:space="preserve"> MID($B$94, INDIRECT( ADDRESS(ROW()-2, COLUMN()) ),1)</f>
        <v>ㄅ</v>
      </c>
      <c r="C99" s="754" t="str" cm="1">
        <f t="array" aca="1" ref="C99" ca="1" xml:space="preserve"> MID($B$94, INDIRECT( ADDRESS(ROW()-2, COLUMN()) ),1)</f>
        <v>ㆠ</v>
      </c>
      <c r="D99" s="754" t="str" cm="1">
        <f t="array" aca="1" ref="D99" ca="1" xml:space="preserve"> MID($B$94, INDIRECT( ADDRESS(ROW()-2, COLUMN()) ),1)</f>
        <v>ㄆ</v>
      </c>
      <c r="E99" s="754" t="str" cm="1">
        <f t="array" aca="1" ref="E99" ca="1" xml:space="preserve"> MID($B$94, INDIRECT( ADDRESS(ROW()-2, COLUMN()) ),1)</f>
        <v>ㄇ</v>
      </c>
      <c r="F99" s="754" t="str" cm="1">
        <f t="array" aca="1" ref="F99" ca="1" xml:space="preserve"> MID($B$94, INDIRECT( ADDRESS(ROW()-2, COLUMN()) ),1)</f>
        <v>ㄉ</v>
      </c>
      <c r="G99" s="754" t="str" cm="1">
        <f t="array" aca="1" ref="G99" ca="1" xml:space="preserve"> MID($B$94, INDIRECT( ADDRESS(ROW()-2, COLUMN()) ),1)</f>
        <v>ㄊ</v>
      </c>
      <c r="H99" s="754" t="str" cm="1">
        <f t="array" aca="1" ref="H99" ca="1" xml:space="preserve"> MID($B$94, INDIRECT( ADDRESS(ROW()-2, COLUMN()) ),1)</f>
        <v>ㄋ</v>
      </c>
      <c r="I99" s="754" t="str" cm="1">
        <f t="array" aca="1" ref="I99" ca="1" xml:space="preserve"> MID($B$94, INDIRECT( ADDRESS(ROW()-2, COLUMN()) ),1)</f>
        <v>ㄌ</v>
      </c>
      <c r="J99" s="754" t="str" cm="1">
        <f t="array" aca="1" ref="J99" ca="1" xml:space="preserve"> MID($B$94, INDIRECT( ADDRESS(ROW()-2, COLUMN()) ),1)</f>
        <v>ㄍ</v>
      </c>
      <c r="K99" s="754" t="str" cm="1">
        <f t="array" aca="1" ref="K99" ca="1" xml:space="preserve"> MID($B$94, INDIRECT( ADDRESS(ROW()-2, COLUMN()) ),1)</f>
        <v>ㆣ</v>
      </c>
      <c r="L99" s="754" t="str" cm="1">
        <f t="array" aca="1" ref="L99" ca="1" xml:space="preserve"> MID($B$94, INDIRECT( ADDRESS(ROW()-2, COLUMN()) ),1)</f>
        <v>ㄎ</v>
      </c>
      <c r="M99" s="754" t="str" cm="1">
        <f t="array" aca="1" ref="M99" ca="1" xml:space="preserve"> MID($B$94, INDIRECT( ADDRESS(ROW()-2, COLUMN()) ),1)</f>
        <v>ㄫ</v>
      </c>
      <c r="N99" s="754" t="str" cm="1">
        <f t="array" aca="1" ref="N99" ca="1" xml:space="preserve"> MID($B$94, INDIRECT( ADDRESS(ROW()-2, COLUMN()) ),1)</f>
        <v>ㄏ</v>
      </c>
      <c r="O99" s="754" t="str" cm="1">
        <f t="array" aca="1" ref="O99" ca="1" xml:space="preserve"> MID($B$94, INDIRECT( ADDRESS(ROW()-2, COLUMN()) ),1)</f>
        <v>ㄐ</v>
      </c>
      <c r="P99" s="754" t="str" cm="1">
        <f t="array" aca="1" ref="P99" ca="1" xml:space="preserve"> MID($B$94, INDIRECT( ADDRESS(ROW()-2, COLUMN()) ),1)</f>
        <v>ㆢ</v>
      </c>
      <c r="Q99" s="754" t="str" cm="1">
        <f t="array" aca="1" ref="Q99" ca="1" xml:space="preserve"> MID($B$94, INDIRECT( ADDRESS(ROW()-2, COLUMN()) ),1)</f>
        <v>ㄑ</v>
      </c>
      <c r="R99" s="754" t="str" cm="1">
        <f t="array" aca="1" ref="R99" ca="1" xml:space="preserve"> MID($B$94, INDIRECT( ADDRESS(ROW()-2, COLUMN()) ),1)</f>
        <v>ㄒ</v>
      </c>
      <c r="S99" s="754" t="str" cm="1">
        <f t="array" aca="1" ref="S99" ca="1" xml:space="preserve"> MID($B$94, INDIRECT( ADDRESS(ROW()-2, COLUMN()) ),1)</f>
        <v>ㄗ</v>
      </c>
      <c r="T99" s="754" t="str" cm="1">
        <f t="array" aca="1" ref="T99" ca="1" xml:space="preserve"> MID($B$94, INDIRECT( ADDRESS(ROW()-2, COLUMN()) ),1)</f>
        <v>ㆡ</v>
      </c>
      <c r="U99" s="754" t="str" cm="1">
        <f t="array" aca="1" ref="U99" ca="1" xml:space="preserve"> MID($B$94, INDIRECT( ADDRESS(ROW()-2, COLUMN()) ),1)</f>
        <v>ㄘ</v>
      </c>
      <c r="V99" s="754" t="str" cm="1">
        <f t="array" aca="1" ref="V99" ca="1" xml:space="preserve"> MID($B$94, INDIRECT( ADDRESS(ROW()-2, COLUMN()) ),1)</f>
        <v>ㄙ</v>
      </c>
      <c r="W99" s="754" t="str" cm="1">
        <f t="array" aca="1" ref="W99" ca="1" xml:space="preserve"> MID($B$94, INDIRECT( ADDRESS(ROW()-2, COLUMN()) ),1)</f>
        <v>ㄧ</v>
      </c>
      <c r="X99" s="754" t="str" cm="1">
        <f t="array" aca="1" ref="X99" ca="1" xml:space="preserve"> MID($B$94, INDIRECT( ADDRESS(ROW()-2, COLUMN()) ),1)</f>
        <v>ㆪ</v>
      </c>
      <c r="Y99" s="754" t="str" cm="1">
        <f t="array" aca="1" ref="Y99" ca="1" xml:space="preserve"> MID($B$94, INDIRECT( ADDRESS(ROW()-2, COLUMN()) ),1)</f>
        <v>ㄨ</v>
      </c>
      <c r="Z99" s="754" t="str" cm="1">
        <f t="array" aca="1" ref="Z99" ca="1" xml:space="preserve"> MID($B$94, INDIRECT( ADDRESS(ROW()-2, COLUMN()) ),1)</f>
        <v>ㆫ</v>
      </c>
      <c r="AA99" s="754" t="str" cm="1">
        <f t="array" aca="1" ref="AA99" ca="1" xml:space="preserve"> MID($B$94, INDIRECT( ADDRESS(ROW()-2, COLUMN()) ),1)</f>
        <v>ㄚ</v>
      </c>
      <c r="AB99" s="754" t="str" cm="1">
        <f t="array" aca="1" ref="AB99" ca="1" xml:space="preserve"> MID($B$94, INDIRECT( ADDRESS(ROW()-2, COLUMN()) ),1)</f>
        <v>ㆩ</v>
      </c>
      <c r="AC99" s="754" t="str" cm="1">
        <f t="array" aca="1" ref="AC99" ca="1" xml:space="preserve"> MID($B$94, INDIRECT( ADDRESS(ROW()-2, COLUMN()) ),1)</f>
        <v>ㆦ</v>
      </c>
      <c r="AD99" s="754" t="str" cm="1">
        <f t="array" aca="1" ref="AD99" ca="1" xml:space="preserve"> MID($B$94, INDIRECT( ADDRESS(ROW()-2, COLUMN()) ),1)</f>
        <v>ㆧ</v>
      </c>
      <c r="AE99" s="754" t="str" cm="1">
        <f t="array" aca="1" ref="AE99" ca="1" xml:space="preserve"> MID($B$94, INDIRECT( ADDRESS(ROW()-2, COLUMN()) ),1)</f>
        <v>ㄜ</v>
      </c>
      <c r="AF99" s="754" t="str" cm="1">
        <f t="array" aca="1" ref="AF99" ca="1" xml:space="preserve"> MID($B$94, INDIRECT( ADDRESS(ROW()-2, COLUMN()) ),1)</f>
        <v>ㆤ</v>
      </c>
      <c r="AG99" s="754" t="str" cm="1">
        <f t="array" aca="1" ref="AG99" ca="1" xml:space="preserve"> MID($B$94, INDIRECT( ADDRESS(ROW()-2, COLUMN()) ),1)</f>
        <v>ㆥ</v>
      </c>
      <c r="AH99" s="754" t="str" cm="1">
        <f t="array" aca="1" ref="AH99" ca="1" xml:space="preserve"> MID($B$94, INDIRECT( ADDRESS(ROW()-2, COLUMN()) ),1)</f>
        <v>ㄞ</v>
      </c>
      <c r="AI99" s="754" t="str" cm="1">
        <f t="array" aca="1" ref="AI99" ca="1" xml:space="preserve"> MID($B$94, INDIRECT( ADDRESS(ROW()-2, COLUMN()) ),1)</f>
        <v>ㆮ</v>
      </c>
      <c r="AJ99" s="754" t="str" cm="1">
        <f t="array" aca="1" ref="AJ99" ca="1" xml:space="preserve"> MID($B$94, INDIRECT( ADDRESS(ROW()-2, COLUMN()) ),1)</f>
        <v>ㄠ</v>
      </c>
      <c r="AK99" s="754" t="str" cm="1">
        <f t="array" aca="1" ref="AK99" ca="1" xml:space="preserve"> MID($B$94, INDIRECT( ADDRESS(ROW()-2, COLUMN()) ),1)</f>
        <v>ㆯ</v>
      </c>
      <c r="AL99" s="754" t="str" cm="1">
        <f t="array" aca="1" ref="AL99" ca="1" xml:space="preserve"> MID($B$94, INDIRECT( ADDRESS(ROW()-2, COLUMN()) ),1)</f>
        <v>ㄤ</v>
      </c>
      <c r="AM99" s="754" t="str" cm="1">
        <f t="array" aca="1" ref="AM99" ca="1" xml:space="preserve"> MID($B$94, INDIRECT( ADDRESS(ROW()-2, COLUMN()) ),1)</f>
        <v>ㆲ</v>
      </c>
      <c r="AN99" s="754" t="str" cm="1">
        <f t="array" aca="1" ref="AN99" ca="1" xml:space="preserve"> MID($B$94, INDIRECT( ADDRESS(ROW()-2, COLUMN()) ),1)</f>
        <v>ㆰ</v>
      </c>
      <c r="AO99" s="754" t="str" cm="1">
        <f t="array" aca="1" ref="AO99" ca="1" xml:space="preserve"> MID($B$94, INDIRECT( ADDRESS(ROW()-2, COLUMN()) ),1)</f>
        <v>ㆱ</v>
      </c>
      <c r="AP99" s="754" t="str" cm="1">
        <f t="array" aca="1" ref="AP99" ca="1" xml:space="preserve"> MID($B$94, INDIRECT( ADDRESS(ROW()-2, COLUMN()) ),1)</f>
        <v>ㄢ</v>
      </c>
      <c r="AQ99" s="754" t="str" cm="1">
        <f t="array" aca="1" ref="AQ99" ca="1" xml:space="preserve"> MID($B$94, INDIRECT( ADDRESS(ROW()-2, COLUMN()) ),1)</f>
        <v>ㆬ</v>
      </c>
      <c r="AR99" s="754" t="str" cm="1">
        <f t="array" aca="1" ref="AR99" ca="1" xml:space="preserve"> MID($B$94, INDIRECT( ADDRESS(ROW()-2, COLUMN()) ),1)</f>
        <v>ㄣ</v>
      </c>
      <c r="AS99" s="754" t="str" cm="1">
        <f t="array" aca="1" ref="AS99" ca="1" xml:space="preserve"> MID($B$94, INDIRECT( ADDRESS(ROW()-2, COLUMN()) ),1)</f>
        <v>ㆭ</v>
      </c>
      <c r="AT99" s="754" t="str" cm="1">
        <f t="array" aca="1" ref="AT99" ca="1" xml:space="preserve"> MID($B$94, INDIRECT( ADDRESS(ROW()-2, COLUMN()) ),1)</f>
        <v>ㆨ</v>
      </c>
      <c r="AU99" s="754" t="str" cm="1">
        <f t="array" aca="1" ref="AU99" ca="1" xml:space="preserve"> MID($B$94, INDIRECT( ADDRESS(ROW()-2, COLUMN()) ),1)</f>
        <v>ㆴ</v>
      </c>
      <c r="AV99" s="754" t="str" cm="1">
        <f t="array" aca="1" ref="AV99" ca="1" xml:space="preserve"> MID($B$94, INDIRECT( ADDRESS(ROW()-2, COLUMN()) ),1)</f>
        <v>ㆵ</v>
      </c>
      <c r="AW99" s="754" t="str" cm="1">
        <f t="array" aca="1" ref="AW99" ca="1" xml:space="preserve"> MID($B$94, INDIRECT( ADDRESS(ROW()-2, COLUMN()) ),1)</f>
        <v>ㆻ</v>
      </c>
      <c r="AX99" s="754" t="str" cm="1">
        <f t="array" aca="1" ref="AX99" ca="1" xml:space="preserve"> MID($B$94, INDIRECT( ADDRESS(ROW()-2, COLUMN()) ),1)</f>
        <v>ㆷ</v>
      </c>
      <c r="AY99" s="754" t="str" cm="1">
        <f t="array" aca="1" ref="AY99" ca="1" xml:space="preserve"> MID($B$94, INDIRECT( ADDRESS(ROW()-2, COLUMN()) ),1)</f>
        <v/>
      </c>
      <c r="AZ99" s="754" t="str" cm="1">
        <f t="array" aca="1" ref="AZ99" ca="1" xml:space="preserve"> MID($B$94, INDIRECT( ADDRESS(ROW()-2, COLUMN()) ),1)</f>
        <v/>
      </c>
      <c r="BA99" s="754" t="str" cm="1">
        <f t="array" aca="1" ref="BA99" ca="1" xml:space="preserve"> MID($B$94, INDIRECT( ADDRESS(ROW()-2, COLUMN()) ),1)</f>
        <v/>
      </c>
      <c r="BB99" s="754" t="str" cm="1">
        <f t="array" aca="1" ref="BB99" ca="1" xml:space="preserve"> MID($B$94, INDIRECT( ADDRESS(ROW()-2, COLUMN()) ),1)</f>
        <v/>
      </c>
      <c r="BC99" s="754" t="str" cm="1">
        <f t="array" aca="1" ref="BC99" ca="1" xml:space="preserve"> MID($B$94, INDIRECT( ADDRESS(ROW()-2, COLUMN()) ),1)</f>
        <v/>
      </c>
      <c r="BD99" s="754" t="str" cm="1">
        <f t="array" aca="1" ref="BD99" ca="1" xml:space="preserve"> MID($B$94, INDIRECT( ADDRESS(ROW()-2, COLUMN()) ),1)</f>
        <v/>
      </c>
      <c r="BE99" s="754" t="str" cm="1">
        <f t="array" aca="1" ref="BE99" ca="1" xml:space="preserve"> MID($B$94, INDIRECT( ADDRESS(ROW()-2, COLUMN()) ),1)</f>
        <v/>
      </c>
      <c r="BF99" s="754" t="str" cm="1">
        <f t="array" aca="1" ref="BF99" ca="1" xml:space="preserve"> MID($B$94, INDIRECT( ADDRESS(ROW()-2, COLUMN()) ),1)</f>
        <v/>
      </c>
      <c r="BG99" s="754" t="str" cm="1">
        <f t="array" aca="1" ref="BG99" ca="1" xml:space="preserve"> MID($B$94, INDIRECT( ADDRESS(ROW()-2, COLUMN()) ),1)</f>
        <v/>
      </c>
      <c r="BH99" s="754" t="str" cm="1">
        <f t="array" aca="1" ref="BH99" ca="1" xml:space="preserve"> MID($B$94, INDIRECT( ADDRESS(ROW()-2, COLUMN()) ),1)</f>
        <v/>
      </c>
      <c r="BI99" s="754" t="str" cm="1">
        <f t="array" aca="1" ref="BI99" ca="1" xml:space="preserve"> MID($B$94, INDIRECT( ADDRESS(ROW()-2, COLUMN()) ),1)</f>
        <v/>
      </c>
    </row>
    <row r="100" spans="2:61">
      <c r="B100" s="756" t="str" cm="1">
        <f t="array" aca="1" ref="B100" ca="1" xml:space="preserve"> IFERROR( INDEX(注音編碼對照表[方音符號], MATCH(TRUE, EXACT(B102, 注音編碼對照表[鍵盤按鍵]),0)), "")</f>
        <v>ㄅ</v>
      </c>
      <c r="C100" s="756" t="str" cm="1">
        <f t="array" aca="1" ref="C100" ca="1" xml:space="preserve"> IFERROR( INDEX(注音編碼對照表[方音符號], MATCH(TRUE, EXACT(C102, 注音編碼對照表[鍵盤按鍵]),0)), "")</f>
        <v>ㆠ</v>
      </c>
      <c r="D100" s="756" t="str" cm="1">
        <f t="array" aca="1" ref="D100" ca="1" xml:space="preserve"> IFERROR( INDEX(注音編碼對照表[方音符號], MATCH(TRUE, EXACT(D102, 注音編碼對照表[鍵盤按鍵]),0)), "")</f>
        <v>ㄆ</v>
      </c>
      <c r="E100" s="756" t="str" cm="1">
        <f t="array" aca="1" ref="E100" ca="1" xml:space="preserve"> IFERROR( INDEX(注音編碼對照表[方音符號], MATCH(TRUE, EXACT(E102, 注音編碼對照表[鍵盤按鍵]),0)), "")</f>
        <v>ㄇ</v>
      </c>
      <c r="F100" s="756" t="str" cm="1">
        <f t="array" aca="1" ref="F100" ca="1" xml:space="preserve"> IFERROR( INDEX(注音編碼對照表[方音符號], MATCH(TRUE, EXACT(F102, 注音編碼對照表[鍵盤按鍵]),0)), "")</f>
        <v>ㄉ</v>
      </c>
      <c r="G100" s="756" t="str" cm="1">
        <f t="array" aca="1" ref="G100" ca="1" xml:space="preserve"> IFERROR( INDEX(注音編碼對照表[方音符號], MATCH(TRUE, EXACT(G102, 注音編碼對照表[鍵盤按鍵]),0)), "")</f>
        <v>ㄊ</v>
      </c>
      <c r="H100" s="756" t="str" cm="1">
        <f t="array" aca="1" ref="H100" ca="1" xml:space="preserve"> IFERROR( INDEX(注音編碼對照表[方音符號], MATCH(TRUE, EXACT(H102, 注音編碼對照表[鍵盤按鍵]),0)), "")</f>
        <v>ㄋ</v>
      </c>
      <c r="I100" s="756" t="str" cm="1">
        <f t="array" aca="1" ref="I100" ca="1" xml:space="preserve"> IFERROR( INDEX(注音編碼對照表[方音符號], MATCH(TRUE, EXACT(I102, 注音編碼對照表[鍵盤按鍵]),0)), "")</f>
        <v>ㄌ</v>
      </c>
      <c r="J100" s="756" t="str" cm="1">
        <f t="array" aca="1" ref="J100" ca="1" xml:space="preserve"> IFERROR( INDEX(注音編碼對照表[方音符號], MATCH(TRUE, EXACT(J102, 注音編碼對照表[鍵盤按鍵]),0)), "")</f>
        <v>ㄍ</v>
      </c>
      <c r="K100" s="756" t="str" cm="1">
        <f t="array" aca="1" ref="K100" ca="1" xml:space="preserve"> IFERROR( INDEX(注音編碼對照表[方音符號], MATCH(TRUE, EXACT(K102, 注音編碼對照表[鍵盤按鍵]),0)), "")</f>
        <v>ㆣ</v>
      </c>
      <c r="L100" s="756" t="str" cm="1">
        <f t="array" aca="1" ref="L100" ca="1" xml:space="preserve"> IFERROR( INDEX(注音編碼對照表[方音符號], MATCH(TRUE, EXACT(L102, 注音編碼對照表[鍵盤按鍵]),0)), "")</f>
        <v>ㄎ</v>
      </c>
      <c r="M100" s="756" t="str" cm="1">
        <f t="array" aca="1" ref="M100" ca="1" xml:space="preserve"> IFERROR( INDEX(注音編碼對照表[方音符號], MATCH(TRUE, EXACT(M102, 注音編碼對照表[鍵盤按鍵]),0)), "")</f>
        <v/>
      </c>
      <c r="N100" s="756" t="str" cm="1">
        <f t="array" aca="1" ref="N100" ca="1" xml:space="preserve"> IFERROR( INDEX(注音編碼對照表[方音符號], MATCH(TRUE, EXACT(N102, 注音編碼對照表[鍵盤按鍵]),0)), "")</f>
        <v>ㄏ</v>
      </c>
      <c r="O100" s="756" t="str" cm="1">
        <f t="array" aca="1" ref="O100" ca="1" xml:space="preserve"> IFERROR( INDEX(注音編碼對照表[方音符號], MATCH(TRUE, EXACT(O102, 注音編碼對照表[鍵盤按鍵]),0)), "")</f>
        <v>ㄐ</v>
      </c>
      <c r="P100" s="756" t="str" cm="1">
        <f t="array" aca="1" ref="P100" ca="1" xml:space="preserve"> IFERROR( INDEX(注音編碼對照表[方音符號], MATCH(TRUE, EXACT(P102, 注音編碼對照表[鍵盤按鍵]),0)), "")</f>
        <v>ㆢ</v>
      </c>
      <c r="Q100" s="756" t="str" cm="1">
        <f t="array" aca="1" ref="Q100" ca="1" xml:space="preserve"> IFERROR( INDEX(注音編碼對照表[方音符號], MATCH(TRUE, EXACT(Q102, 注音編碼對照表[鍵盤按鍵]),0)), "")</f>
        <v>ㄑ</v>
      </c>
      <c r="R100" s="756" t="str" cm="1">
        <f t="array" aca="1" ref="R100" ca="1" xml:space="preserve"> IFERROR( INDEX(注音編碼對照表[方音符號], MATCH(TRUE, EXACT(R102, 注音編碼對照表[鍵盤按鍵]),0)), "")</f>
        <v>ㄒ</v>
      </c>
      <c r="S100" s="756" t="str" cm="1">
        <f t="array" aca="1" ref="S100" ca="1" xml:space="preserve"> IFERROR( INDEX(注音編碼對照表[方音符號], MATCH(TRUE, EXACT(S102, 注音編碼對照表[鍵盤按鍵]),0)), "")</f>
        <v>ㄗ</v>
      </c>
      <c r="T100" s="756" t="str" cm="1">
        <f t="array" aca="1" ref="T100" ca="1" xml:space="preserve"> IFERROR( INDEX(注音編碼對照表[方音符號], MATCH(TRUE, EXACT(T102, 注音編碼對照表[鍵盤按鍵]),0)), "")</f>
        <v>ㆡ</v>
      </c>
      <c r="U100" s="756" t="str" cm="1">
        <f t="array" aca="1" ref="U100" ca="1" xml:space="preserve"> IFERROR( INDEX(注音編碼對照表[方音符號], MATCH(TRUE, EXACT(U102, 注音編碼對照表[鍵盤按鍵]),0)), "")</f>
        <v>ㄘ</v>
      </c>
      <c r="V100" s="756" t="str" cm="1">
        <f t="array" aca="1" ref="V100" ca="1" xml:space="preserve"> IFERROR( INDEX(注音編碼對照表[方音符號], MATCH(TRUE, EXACT(V102, 注音編碼對照表[鍵盤按鍵]),0)), "")</f>
        <v>ㄙ</v>
      </c>
      <c r="W100" s="756" t="str" cm="1">
        <f t="array" aca="1" ref="W100" ca="1" xml:space="preserve"> IFERROR( INDEX(注音編碼對照表[方音符號], MATCH(TRUE, EXACT(W102, 注音編碼對照表[鍵盤按鍵]),0)), "")</f>
        <v>ㄧ</v>
      </c>
      <c r="X100" s="756" t="str" cm="1">
        <f t="array" aca="1" ref="X100" ca="1" xml:space="preserve"> IFERROR( INDEX(注音編碼對照表[方音符號], MATCH(TRUE, EXACT(X102, 注音編碼對照表[鍵盤按鍵]),0)), "")</f>
        <v>ㆪ</v>
      </c>
      <c r="Y100" s="756" t="str" cm="1">
        <f t="array" aca="1" ref="Y100" ca="1" xml:space="preserve"> IFERROR( INDEX(注音編碼對照表[方音符號], MATCH(TRUE, EXACT(Y102, 注音編碼對照表[鍵盤按鍵]),0)), "")</f>
        <v>ㄨ</v>
      </c>
      <c r="Z100" s="756" t="str" cm="1">
        <f t="array" aca="1" ref="Z100" ca="1" xml:space="preserve"> IFERROR( INDEX(注音編碼對照表[方音符號], MATCH(TRUE, EXACT(Z102, 注音編碼對照表[鍵盤按鍵]),0)), "")</f>
        <v>ㆫ</v>
      </c>
      <c r="AA100" s="756" t="str" cm="1">
        <f t="array" aca="1" ref="AA100" ca="1" xml:space="preserve"> IFERROR( INDEX(注音編碼對照表[方音符號], MATCH(TRUE, EXACT(AA102, 注音編碼對照表[鍵盤按鍵]),0)), "")</f>
        <v>ㄚ</v>
      </c>
      <c r="AB100" s="756" t="str" cm="1">
        <f t="array" aca="1" ref="AB100" ca="1" xml:space="preserve"> IFERROR( INDEX(注音編碼對照表[方音符號], MATCH(TRUE, EXACT(AB102, 注音編碼對照表[鍵盤按鍵]),0)), "")</f>
        <v>ㆩ</v>
      </c>
      <c r="AC100" s="756" t="str" cm="1">
        <f t="array" aca="1" ref="AC100" ca="1" xml:space="preserve"> IFERROR( INDEX(注音編碼對照表[方音符號], MATCH(TRUE, EXACT(AC102, 注音編碼對照表[鍵盤按鍵]),0)), "")</f>
        <v>ㆦ</v>
      </c>
      <c r="AD100" s="756" t="str" cm="1">
        <f t="array" aca="1" ref="AD100" ca="1" xml:space="preserve"> IFERROR( INDEX(注音編碼對照表[方音符號], MATCH(TRUE, EXACT(AD102, 注音編碼對照表[鍵盤按鍵]),0)), "")</f>
        <v>ㆧ</v>
      </c>
      <c r="AE100" s="756" t="str" cm="1">
        <f t="array" aca="1" ref="AE100" ca="1" xml:space="preserve"> IFERROR( INDEX(注音編碼對照表[方音符號], MATCH(TRUE, EXACT(AE102, 注音編碼對照表[鍵盤按鍵]),0)), "")</f>
        <v>ㄜ</v>
      </c>
      <c r="AF100" s="756" t="str" cm="1">
        <f t="array" aca="1" ref="AF100" ca="1" xml:space="preserve"> IFERROR( INDEX(注音編碼對照表[方音符號], MATCH(TRUE, EXACT(AF102, 注音編碼對照表[鍵盤按鍵]),0)), "")</f>
        <v>ㆤ</v>
      </c>
      <c r="AG100" s="756" t="str" cm="1">
        <f t="array" aca="1" ref="AG100" ca="1" xml:space="preserve"> IFERROR( INDEX(注音編碼對照表[方音符號], MATCH(TRUE, EXACT(AG102, 注音編碼對照表[鍵盤按鍵]),0)), "")</f>
        <v>ㆥ</v>
      </c>
      <c r="AH100" s="757" t="str" cm="1">
        <f t="array" aca="1" ref="AH100" ca="1" xml:space="preserve"> IFERROR( INDEX(注音編碼對照表[方音符號], MATCH(TRUE, EXACT(AH102, 注音編碼對照表[鍵盤按鍵]),0)), "")</f>
        <v>ㄞ</v>
      </c>
      <c r="AI100" s="757" t="str" cm="1">
        <f t="array" aca="1" ref="AI100" ca="1" xml:space="preserve"> IFERROR( INDEX(注音編碼對照表[方音符號], MATCH(TRUE, EXACT(AI102, 注音編碼對照表[鍵盤按鍵]),0)), "")</f>
        <v>ㆮ</v>
      </c>
      <c r="AJ100" s="757" t="str" cm="1">
        <f t="array" aca="1" ref="AJ100" ca="1" xml:space="preserve"> IFERROR( INDEX(注音編碼對照表[方音符號], MATCH(TRUE, EXACT(AJ102, 注音編碼對照表[鍵盤按鍵]),0)), "")</f>
        <v>ㄠ</v>
      </c>
      <c r="AK100" s="757" t="str" cm="1">
        <f t="array" aca="1" ref="AK100" ca="1" xml:space="preserve"> IFERROR( INDEX(注音編碼對照表[方音符號], MATCH(TRUE, EXACT(AK102, 注音編碼對照表[鍵盤按鍵]),0)), "")</f>
        <v>ㆯ</v>
      </c>
      <c r="AL100" s="758" t="str" cm="1">
        <f t="array" aca="1" ref="AL100" ca="1" xml:space="preserve"> IFERROR( INDEX(注音編碼對照表[方音符號], MATCH(TRUE, EXACT(AL102, 注音編碼對照表[鍵盤按鍵]),0)), "")</f>
        <v>ㄤ</v>
      </c>
      <c r="AM100" s="757" t="str" cm="1">
        <f t="array" aca="1" ref="AM100" ca="1" xml:space="preserve"> IFERROR( INDEX(注音編碼對照表[方音符號], MATCH(TRUE, EXACT(AM102, 注音編碼對照表[鍵盤按鍵]),0)), "")</f>
        <v>ㆲ</v>
      </c>
      <c r="AN100" s="757" t="str" cm="1">
        <f t="array" aca="1" ref="AN100" ca="1" xml:space="preserve"> IFERROR( INDEX(注音編碼對照表[方音符號], MATCH(TRUE, EXACT(AN102, 注音編碼對照表[鍵盤按鍵]),0)), "")</f>
        <v>ㆰ</v>
      </c>
      <c r="AO100" s="757" t="str" cm="1">
        <f t="array" aca="1" ref="AO100" ca="1" xml:space="preserve"> IFERROR( INDEX(注音編碼對照表[方音符號], MATCH(TRUE, EXACT(AO102, 注音編碼對照表[鍵盤按鍵]),0)), "")</f>
        <v>ㆱ</v>
      </c>
      <c r="AP100" s="757" t="str" cm="1">
        <f t="array" aca="1" ref="AP100" ca="1" xml:space="preserve"> IFERROR( INDEX(注音編碼對照表[方音符號], MATCH(TRUE, EXACT(AP102, 注音編碼對照表[鍵盤按鍵]),0)), "")</f>
        <v>ㄢ</v>
      </c>
      <c r="AQ100" s="757" t="str" cm="1">
        <f t="array" aca="1" ref="AQ100" ca="1" xml:space="preserve"> IFERROR( INDEX(注音編碼對照表[方音符號], MATCH(TRUE, EXACT(AQ102, 注音編碼對照表[鍵盤按鍵]),0)), "")</f>
        <v>ㆬ</v>
      </c>
      <c r="AR100" s="757" t="str" cm="1">
        <f t="array" aca="1" ref="AR100" ca="1" xml:space="preserve"> IFERROR( INDEX(注音編碼對照表[方音符號], MATCH(TRUE, EXACT(AR102, 注音編碼對照表[鍵盤按鍵]),0)), "")</f>
        <v>ㄣ</v>
      </c>
      <c r="AS100" s="757" t="str" cm="1">
        <f t="array" aca="1" ref="AS100" ca="1" xml:space="preserve"> IFERROR( INDEX(注音編碼對照表[方音符號], MATCH(TRUE, EXACT(AS102, 注音編碼對照表[鍵盤按鍵]),0)), "")</f>
        <v>ㆭ</v>
      </c>
      <c r="AT100" s="757" t="str" cm="1">
        <f t="array" aca="1" ref="AT100" ca="1" xml:space="preserve"> IFERROR( INDEX(注音編碼對照表[方音符號], MATCH(TRUE, EXACT(AT102, 注音編碼對照表[鍵盤按鍵]),0)), "")</f>
        <v>ㆨ</v>
      </c>
      <c r="AU100" s="757" t="str" cm="1">
        <f t="array" aca="1" ref="AU100" ca="1" xml:space="preserve"> IFERROR( INDEX(注音編碼對照表[方音符號], MATCH(TRUE, EXACT(AU102, 注音編碼對照表[鍵盤按鍵]),0)), "")</f>
        <v>ㆢ</v>
      </c>
      <c r="AV100" s="757" t="str" cm="1">
        <f t="array" aca="1" ref="AV100" ca="1" xml:space="preserve"> IFERROR( INDEX(注音編碼對照表[方音符號], MATCH(TRUE, EXACT(AV102, 注音編碼對照表[鍵盤按鍵]),0)), "")</f>
        <v/>
      </c>
      <c r="AW100" s="757" t="str" cm="1">
        <f t="array" aca="1" ref="AW100" ca="1" xml:space="preserve"> IFERROR( INDEX(注音編碼對照表[方音符號], MATCH(TRUE, EXACT(AW102, 注音編碼對照表[鍵盤按鍵]),0)), "")</f>
        <v/>
      </c>
      <c r="AX100" s="757" t="str" cm="1">
        <f t="array" aca="1" ref="AX100" ca="1" xml:space="preserve"> IFERROR( INDEX(注音編碼對照表[方音符號], MATCH(TRUE, EXACT(AX102, 注音編碼對照表[鍵盤按鍵]),0)), "")</f>
        <v/>
      </c>
      <c r="AY100" s="757" t="str" cm="1">
        <f t="array" aca="1" ref="AY100" ca="1" xml:space="preserve"> IFERROR( INDEX(注音編碼對照表[方音符號], MATCH(TRUE, EXACT(AY102, 注音編碼對照表[鍵盤按鍵]),0)), "")</f>
        <v/>
      </c>
      <c r="AZ100" s="757" t="str" cm="1">
        <f t="array" aca="1" ref="AZ100" ca="1" xml:space="preserve"> IFERROR( INDEX(注音編碼對照表[方音符號], MATCH(TRUE, EXACT(AZ102, 注音編碼對照表[鍵盤按鍵]),0)), "")</f>
        <v/>
      </c>
      <c r="BA100" s="757" t="str" cm="1">
        <f t="array" aca="1" ref="BA100" ca="1" xml:space="preserve"> IFERROR( INDEX(注音編碼對照表[方音符號], MATCH(TRUE, EXACT(BA102, 注音編碼對照表[鍵盤按鍵]),0)), "")</f>
        <v/>
      </c>
      <c r="BB100" s="757" t="str" cm="1">
        <f t="array" aca="1" ref="BB100" ca="1" xml:space="preserve"> IFERROR( INDEX(注音編碼對照表[方音符號], MATCH(TRUE, EXACT(BB102, 注音編碼對照表[鍵盤按鍵]),0)), "")</f>
        <v/>
      </c>
      <c r="BC100" s="757" t="str" cm="1">
        <f t="array" aca="1" ref="BC100" ca="1" xml:space="preserve"> IFERROR( INDEX(注音編碼對照表[方音符號], MATCH(TRUE, EXACT(BC102, 注音編碼對照表[鍵盤按鍵]),0)), "")</f>
        <v/>
      </c>
      <c r="BD100" s="757" t="str" cm="1">
        <f t="array" aca="1" ref="BD100" ca="1" xml:space="preserve"> IFERROR( INDEX(注音編碼對照表[方音符號], MATCH(TRUE, EXACT(BD102, 注音編碼對照表[鍵盤按鍵]),0)), "")</f>
        <v/>
      </c>
      <c r="BE100" s="757" t="str" cm="1">
        <f t="array" aca="1" ref="BE100" ca="1" xml:space="preserve"> IFERROR( INDEX(注音編碼對照表[方音符號], MATCH(TRUE, EXACT(BE102, 注音編碼對照表[鍵盤按鍵]),0)), "")</f>
        <v/>
      </c>
      <c r="BF100" s="757" t="str" cm="1">
        <f t="array" aca="1" ref="BF100" ca="1" xml:space="preserve"> IFERROR( INDEX(注音編碼對照表[方音符號], MATCH(TRUE, EXACT(BF102, 注音編碼對照表[鍵盤按鍵]),0)), "")</f>
        <v/>
      </c>
      <c r="BG100" s="757" t="str" cm="1">
        <f t="array" aca="1" ref="BG100" ca="1" xml:space="preserve"> IFERROR( INDEX(注音編碼對照表[方音符號], MATCH(TRUE, EXACT(BG102, 注音編碼對照表[鍵盤按鍵]),0)), "")</f>
        <v/>
      </c>
      <c r="BH100" s="757" t="str" cm="1">
        <f t="array" aca="1" ref="BH100" ca="1" xml:space="preserve"> IFERROR( INDEX(注音編碼對照表[方音符號], MATCH(TRUE, EXACT(BH102, 注音編碼對照表[鍵盤按鍵]),0)), "")</f>
        <v/>
      </c>
      <c r="BI100" s="757" t="str" cm="1">
        <f t="array" aca="1" ref="BI100" ca="1" xml:space="preserve"> IFERROR( INDEX(注音編碼對照表[方音符號], MATCH(TRUE, EXACT(BI102, 注音編碼對照表[鍵盤按鍵]),0)), "")</f>
        <v/>
      </c>
    </row>
    <row r="101" spans="2:61">
      <c r="B101" s="316"/>
    </row>
    <row r="102" spans="2:61" ht="39">
      <c r="B102" s="759" t="str" cm="1">
        <f t="array" aca="1" ref="B102" ca="1" xml:space="preserve"> INDIRECT( ADDRESS(ROW()-4, COLUMN()) )</f>
        <v>1</v>
      </c>
      <c r="C102" s="759" t="str" cm="1">
        <f t="array" aca="1" ref="C102" ca="1" xml:space="preserve"> INDIRECT( ADDRESS(ROW()-4, COLUMN()) )</f>
        <v>!</v>
      </c>
      <c r="D102" s="759" t="str" cm="1">
        <f t="array" aca="1" ref="D102" ca="1" xml:space="preserve"> INDIRECT( ADDRESS(ROW()-4, COLUMN()) )</f>
        <v>q</v>
      </c>
      <c r="E102" s="759" t="str" cm="1">
        <f t="array" aca="1" ref="E102" ca="1" xml:space="preserve"> INDIRECT( ADDRESS(ROW()-4, COLUMN()) )</f>
        <v>a</v>
      </c>
      <c r="F102" s="759" t="str" cm="1">
        <f t="array" aca="1" ref="F102" ca="1" xml:space="preserve"> INDIRECT( ADDRESS(ROW()-4, COLUMN()) )</f>
        <v>2</v>
      </c>
      <c r="G102" s="759" t="str" cm="1">
        <f t="array" aca="1" ref="G102" ca="1" xml:space="preserve"> INDIRECT( ADDRESS(ROW()-4, COLUMN()) )</f>
        <v>w</v>
      </c>
      <c r="H102" s="759" t="str" cm="1">
        <f t="array" aca="1" ref="H102" ca="1" xml:space="preserve"> INDIRECT( ADDRESS(ROW()-4, COLUMN()) )</f>
        <v>s</v>
      </c>
      <c r="I102" s="759" t="str" cm="1">
        <f t="array" aca="1" ref="I102" ca="1" xml:space="preserve"> INDIRECT( ADDRESS(ROW()-4, COLUMN()) )</f>
        <v>x</v>
      </c>
      <c r="J102" s="759" t="str" cm="1">
        <f t="array" aca="1" ref="J102" ca="1" xml:space="preserve"> INDIRECT( ADDRESS(ROW()-4, COLUMN()) )</f>
        <v>e</v>
      </c>
      <c r="K102" s="759" t="str" cm="1">
        <f t="array" aca="1" ref="K102" ca="1" xml:space="preserve"> INDIRECT( ADDRESS(ROW()-4, COLUMN()) )</f>
        <v>E</v>
      </c>
      <c r="L102" s="759" t="str" cm="1">
        <f t="array" aca="1" ref="L102" ca="1" xml:space="preserve"> INDIRECT( ADDRESS(ROW()-4, COLUMN()) )</f>
        <v>d</v>
      </c>
      <c r="M102" s="759" t="str" cm="1">
        <f t="array" aca="1" ref="M102" ca="1" xml:space="preserve"> INDIRECT( ADDRESS(ROW()-4, COLUMN()) )</f>
        <v>G</v>
      </c>
      <c r="N102" s="759" t="str" cm="1">
        <f t="array" aca="1" ref="N102" ca="1" xml:space="preserve"> INDIRECT( ADDRESS(ROW()-4, COLUMN()) )</f>
        <v>c</v>
      </c>
      <c r="O102" s="759" t="str" cm="1">
        <f t="array" aca="1" ref="O102" ca="1" xml:space="preserve"> INDIRECT( ADDRESS(ROW()-4, COLUMN()) )</f>
        <v>r</v>
      </c>
      <c r="P102" s="759" t="str" cm="1">
        <f t="array" aca="1" ref="P102" ca="1" xml:space="preserve"> INDIRECT( ADDRESS(ROW()-4, COLUMN()) )</f>
        <v>R</v>
      </c>
      <c r="Q102" s="759" t="str" cm="1">
        <f t="array" aca="1" ref="Q102" ca="1" xml:space="preserve"> INDIRECT( ADDRESS(ROW()-4, COLUMN()) )</f>
        <v>f</v>
      </c>
      <c r="R102" s="759" t="str" cm="1">
        <f t="array" aca="1" ref="R102" ca="1" xml:space="preserve"> INDIRECT( ADDRESS(ROW()-4, COLUMN()) )</f>
        <v>v</v>
      </c>
      <c r="S102" s="759" t="str" cm="1">
        <f t="array" aca="1" ref="S102" ca="1" xml:space="preserve"> INDIRECT( ADDRESS(ROW()-4, COLUMN()) )</f>
        <v>y</v>
      </c>
      <c r="T102" s="759" t="str" cm="1">
        <f t="array" aca="1" ref="T102" ca="1" xml:space="preserve"> INDIRECT( ADDRESS(ROW()-4, COLUMN()) )</f>
        <v>Y</v>
      </c>
      <c r="U102" s="759" t="str" cm="1">
        <f t="array" aca="1" ref="U102" ca="1" xml:space="preserve"> INDIRECT( ADDRESS(ROW()-4, COLUMN()) )</f>
        <v>h</v>
      </c>
      <c r="V102" s="759" t="str" cm="1">
        <f t="array" aca="1" ref="V102" ca="1" xml:space="preserve"> INDIRECT( ADDRESS(ROW()-4, COLUMN()) )</f>
        <v>n</v>
      </c>
      <c r="W102" s="759" t="str" cm="1">
        <f t="array" aca="1" ref="W102" ca="1" xml:space="preserve"> INDIRECT( ADDRESS(ROW()-4, COLUMN()) )</f>
        <v>u</v>
      </c>
      <c r="X102" s="759" t="str" cm="1">
        <f t="array" aca="1" ref="X102" ca="1" xml:space="preserve"> INDIRECT( ADDRESS(ROW()-4, COLUMN()) )</f>
        <v>U</v>
      </c>
      <c r="Y102" s="759" t="str" cm="1">
        <f t="array" aca="1" ref="Y102" ca="1" xml:space="preserve"> INDIRECT( ADDRESS(ROW()-4, COLUMN()) )</f>
        <v>j</v>
      </c>
      <c r="Z102" s="759" t="str" cm="1">
        <f t="array" aca="1" ref="Z102" ca="1" xml:space="preserve"> INDIRECT( ADDRESS(ROW()-4, COLUMN()) )</f>
        <v>J</v>
      </c>
      <c r="AA102" s="759" t="str" cm="1">
        <f t="array" aca="1" ref="AA102" ca="1" xml:space="preserve"> INDIRECT( ADDRESS(ROW()-4, COLUMN()) )</f>
        <v>8</v>
      </c>
      <c r="AB102" s="759" t="str" cm="1">
        <f t="array" aca="1" ref="AB102" ca="1" xml:space="preserve"> INDIRECT( ADDRESS(ROW()-4, COLUMN()) )</f>
        <v>*</v>
      </c>
      <c r="AC102" s="759" t="str" cm="1">
        <f t="array" aca="1" ref="AC102" ca="1" xml:space="preserve"> INDIRECT( ADDRESS(ROW()-4, COLUMN()) )</f>
        <v>i</v>
      </c>
      <c r="AD102" s="759" t="str" cm="1">
        <f t="array" aca="1" ref="AD102" ca="1" xml:space="preserve"> INDIRECT( ADDRESS(ROW()-4, COLUMN()) )</f>
        <v>I</v>
      </c>
      <c r="AE102" s="759" t="str" cm="1">
        <f t="array" aca="1" ref="AE102" ca="1" xml:space="preserve"> INDIRECT( ADDRESS(ROW()-4, COLUMN()) )</f>
        <v>k</v>
      </c>
      <c r="AF102" s="759" t="str" cm="1">
        <f t="array" aca="1" ref="AF102" ca="1" xml:space="preserve"> INDIRECT( ADDRESS(ROW()-4, COLUMN()) )</f>
        <v>,</v>
      </c>
      <c r="AG102" s="759" t="str" cm="1">
        <f t="array" aca="1" ref="AG102" ca="1" xml:space="preserve"> INDIRECT( ADDRESS(ROW()-4, COLUMN()) )</f>
        <v>&lt;</v>
      </c>
      <c r="AH102" s="759" t="str" cm="1">
        <f t="array" aca="1" ref="AH102" ca="1" xml:space="preserve"> INDIRECT( ADDRESS(ROW()-4, COLUMN()) )</f>
        <v>9</v>
      </c>
      <c r="AI102" s="759" t="str" cm="1">
        <f t="array" aca="1" ref="AI102" ca="1" xml:space="preserve"> INDIRECT( ADDRESS(ROW()-4, COLUMN()) )</f>
        <v>(</v>
      </c>
      <c r="AJ102" s="759" t="str" cm="1">
        <f t="array" aca="1" ref="AJ102" ca="1" xml:space="preserve"> INDIRECT( ADDRESS(ROW()-4, COLUMN()) )</f>
        <v>l</v>
      </c>
      <c r="AK102" s="759" t="str" cm="1">
        <f t="array" aca="1" ref="AK102" ca="1" xml:space="preserve"> INDIRECT( ADDRESS(ROW()-4, COLUMN()) )</f>
        <v>L</v>
      </c>
      <c r="AL102" s="759" t="str" cm="1">
        <f t="array" aca="1" ref="AL102" ca="1" xml:space="preserve"> INDIRECT( ADDRESS(ROW()-4, COLUMN()) )</f>
        <v>;</v>
      </c>
      <c r="AM102" s="759" t="str" cm="1">
        <f t="array" aca="1" ref="AM102" ca="1" xml:space="preserve"> INDIRECT( ADDRESS(ROW()-4, COLUMN()) )</f>
        <v>o</v>
      </c>
      <c r="AN102" s="759" t="str" cm="1">
        <f t="array" aca="1" ref="AN102" ca="1" xml:space="preserve"> INDIRECT( ADDRESS(ROW()-4, COLUMN()) )</f>
        <v>M</v>
      </c>
      <c r="AO102" s="759" t="str" cm="1">
        <f t="array" aca="1" ref="AO102" ca="1" xml:space="preserve"> INDIRECT( ADDRESS(ROW()-4, COLUMN()) )</f>
        <v>O</v>
      </c>
      <c r="AP102" s="759" t="str" cm="1">
        <f t="array" aca="1" ref="AP102" ca="1" xml:space="preserve"> INDIRECT( ADDRESS(ROW()-4, COLUMN()) )</f>
        <v>0</v>
      </c>
      <c r="AQ102" s="759" t="str" cm="1">
        <f t="array" aca="1" ref="AQ102" ca="1" xml:space="preserve"> INDIRECT( ADDRESS(ROW()-4, COLUMN()) )</f>
        <v>m</v>
      </c>
      <c r="AR102" s="759" t="str" cm="1">
        <f t="array" aca="1" ref="AR102" ca="1" xml:space="preserve"> INDIRECT( ADDRESS(ROW()-4, COLUMN()) )</f>
        <v>p</v>
      </c>
      <c r="AS102" s="759" t="str" cm="1">
        <f t="array" aca="1" ref="AS102" ca="1" xml:space="preserve"> INDIRECT( ADDRESS(ROW()-4, COLUMN()) )</f>
        <v>/</v>
      </c>
      <c r="AT102" s="759" t="str" cm="1">
        <f t="array" aca="1" ref="AT102" ca="1" xml:space="preserve"> INDIRECT( ADDRESS(ROW()-4, COLUMN()) )</f>
        <v>K</v>
      </c>
      <c r="AU102" s="759" t="str" cm="1">
        <f t="array" aca="1" ref="AU102" ca="1" xml:space="preserve"> INDIRECT( ADDRESS(ROW()-4, COLUMN()) )</f>
        <v>R</v>
      </c>
      <c r="AV102" s="759" t="str" cm="1">
        <f t="array" aca="1" ref="AV102" ca="1" xml:space="preserve"> INDIRECT( ADDRESS(ROW()-4, COLUMN()) )</f>
        <v>F</v>
      </c>
      <c r="AW102" s="759" t="str" cm="1">
        <f t="array" aca="1" ref="AW102" ca="1" xml:space="preserve"> INDIRECT( ADDRESS(ROW()-4, COLUMN()) )</f>
        <v>Q</v>
      </c>
      <c r="AX102" s="759" t="str" cm="1">
        <f t="array" aca="1" ref="AX102" ca="1" xml:space="preserve"> INDIRECT( ADDRESS(ROW()-4, COLUMN()) )</f>
        <v>V</v>
      </c>
      <c r="AY102" s="759" t="str" cm="1">
        <f t="array" aca="1" ref="AY102" ca="1" xml:space="preserve"> INDIRECT( ADDRESS(ROW()-4, COLUMN()) )</f>
        <v/>
      </c>
      <c r="AZ102" s="759" t="str" cm="1">
        <f t="array" aca="1" ref="AZ102" ca="1" xml:space="preserve"> INDIRECT( ADDRESS(ROW()-4, COLUMN()) )</f>
        <v/>
      </c>
      <c r="BA102" s="759" t="str" cm="1">
        <f t="array" aca="1" ref="BA102" ca="1" xml:space="preserve"> INDIRECT( ADDRESS(ROW()-4, COLUMN()) )</f>
        <v/>
      </c>
      <c r="BB102" s="759" t="str" cm="1">
        <f t="array" aca="1" ref="BB102" ca="1" xml:space="preserve"> INDIRECT( ADDRESS(ROW()-4, COLUMN()) )</f>
        <v/>
      </c>
      <c r="BC102" s="759" t="str" cm="1">
        <f t="array" aca="1" ref="BC102" ca="1" xml:space="preserve"> INDIRECT( ADDRESS(ROW()-4, COLUMN()) )</f>
        <v/>
      </c>
      <c r="BD102" s="759" t="str" cm="1">
        <f t="array" aca="1" ref="BD102" ca="1" xml:space="preserve"> INDIRECT( ADDRESS(ROW()-4, COLUMN()) )</f>
        <v/>
      </c>
      <c r="BE102" s="759" t="str" cm="1">
        <f t="array" aca="1" ref="BE102" ca="1" xml:space="preserve"> INDIRECT( ADDRESS(ROW()-4, COLUMN()) )</f>
        <v/>
      </c>
      <c r="BF102" s="759" t="str" cm="1">
        <f t="array" aca="1" ref="BF102" ca="1" xml:space="preserve"> INDIRECT( ADDRESS(ROW()-4, COLUMN()) )</f>
        <v/>
      </c>
      <c r="BG102" s="759" t="str" cm="1">
        <f t="array" aca="1" ref="BG102" ca="1" xml:space="preserve"> INDIRECT( ADDRESS(ROW()-4, COLUMN()) )</f>
        <v/>
      </c>
      <c r="BH102" s="759" t="str" cm="1">
        <f t="array" aca="1" ref="BH102" ca="1" xml:space="preserve"> INDIRECT( ADDRESS(ROW()-4, COLUMN()) )</f>
        <v/>
      </c>
      <c r="BI102" s="759" t="str" cm="1">
        <f t="array" aca="1" ref="BI102" ca="1" xml:space="preserve"> INDIRECT( ADDRESS(ROW()-4, COLUMN()) )</f>
        <v/>
      </c>
    </row>
    <row r="104" spans="2:61" ht="39">
      <c r="B104" s="761" t="str">
        <f ca="1">_xlfn.CONCAT(B98:AX98)</f>
        <v>1!qa2wsxeEdGcrRfvyYhnuUjJ8*iIk,&lt;9(lL;oMO0mp/KRFQV</v>
      </c>
    </row>
    <row r="105" spans="2:61" ht="39">
      <c r="B105" s="761" t="str">
        <f ca="1">_xlfn.CONCAT(B99:AX99)</f>
        <v>ㄅㆠㄆㄇㄉㄊㄋㄌㄍㆣㄎㄫㄏㄐㆢㄑㄒㄗㆡㄘㄙㄧㆪㄨㆫㄚㆩㆦㆧㄜㆤㆥㄞㆮㄠㆯㄤㆲㆰㆱㄢㆬㄣㆭㆨㆴㆵㆻㆷ</v>
      </c>
    </row>
    <row r="108" spans="2:61" ht="39">
      <c r="B108" s="760" t="str">
        <f ca="1" xml:space="preserve"> _xlfn.CONCAT("    - xlit|", B102:AX102, "|", B99:AX99,"|")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Y5:CD27">
    <sortCondition descending="1" ref="CD5:CD27"/>
  </sortState>
  <phoneticPr fontId="9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  <sheetView workbookViewId="1"/>
  </sheetViews>
  <sheetFormatPr defaultColWidth="4.296875" defaultRowHeight="25.5"/>
  <cols>
    <col min="1" max="3" width="4.3984375" style="803" bestFit="1" customWidth="1"/>
    <col min="4" max="26" width="5" style="803" bestFit="1" customWidth="1"/>
    <col min="27" max="29" width="4.296875" style="803"/>
    <col min="30" max="30" width="8.3984375" style="803" customWidth="1"/>
    <col min="31" max="16384" width="4.296875" style="803"/>
  </cols>
  <sheetData>
    <row r="1" spans="1:34">
      <c r="A1" s="802">
        <v>97</v>
      </c>
      <c r="B1" s="802">
        <f>A1+1</f>
        <v>98</v>
      </c>
      <c r="C1" s="802">
        <f t="shared" ref="C1:R2" si="0">B1+1</f>
        <v>99</v>
      </c>
      <c r="D1" s="802">
        <f t="shared" si="0"/>
        <v>100</v>
      </c>
      <c r="E1" s="802">
        <f t="shared" si="0"/>
        <v>101</v>
      </c>
      <c r="F1" s="802">
        <f t="shared" si="0"/>
        <v>102</v>
      </c>
      <c r="G1" s="802">
        <f t="shared" si="0"/>
        <v>103</v>
      </c>
      <c r="H1" s="802">
        <f t="shared" si="0"/>
        <v>104</v>
      </c>
      <c r="I1" s="802">
        <f t="shared" si="0"/>
        <v>105</v>
      </c>
      <c r="J1" s="802">
        <f t="shared" si="0"/>
        <v>106</v>
      </c>
      <c r="K1" s="802">
        <f t="shared" si="0"/>
        <v>107</v>
      </c>
      <c r="L1" s="802">
        <f t="shared" si="0"/>
        <v>108</v>
      </c>
      <c r="M1" s="802">
        <f t="shared" si="0"/>
        <v>109</v>
      </c>
      <c r="N1" s="802">
        <f t="shared" si="0"/>
        <v>110</v>
      </c>
      <c r="O1" s="802">
        <f t="shared" si="0"/>
        <v>111</v>
      </c>
      <c r="P1" s="802">
        <f t="shared" si="0"/>
        <v>112</v>
      </c>
      <c r="Q1" s="802">
        <f t="shared" si="0"/>
        <v>113</v>
      </c>
      <c r="R1" s="802">
        <f t="shared" si="0"/>
        <v>114</v>
      </c>
      <c r="S1" s="802">
        <f t="shared" ref="S1:Z2" si="1">R1+1</f>
        <v>115</v>
      </c>
      <c r="T1" s="802">
        <f t="shared" si="1"/>
        <v>116</v>
      </c>
      <c r="U1" s="802">
        <f t="shared" si="1"/>
        <v>117</v>
      </c>
      <c r="V1" s="802">
        <f t="shared" si="1"/>
        <v>118</v>
      </c>
      <c r="W1" s="802">
        <f t="shared" si="1"/>
        <v>119</v>
      </c>
      <c r="X1" s="802">
        <f t="shared" si="1"/>
        <v>120</v>
      </c>
      <c r="Y1" s="802">
        <f t="shared" si="1"/>
        <v>121</v>
      </c>
      <c r="Z1" s="802">
        <f t="shared" si="1"/>
        <v>122</v>
      </c>
      <c r="AC1" s="803" t="s">
        <v>59</v>
      </c>
      <c r="AD1" s="803" t="s">
        <v>59</v>
      </c>
      <c r="AG1" s="803" t="s">
        <v>409</v>
      </c>
      <c r="AH1" s="803" t="s">
        <v>597</v>
      </c>
    </row>
    <row r="2" spans="1:34">
      <c r="A2" s="802">
        <v>65</v>
      </c>
      <c r="B2" s="802">
        <f>A2+1</f>
        <v>66</v>
      </c>
      <c r="C2" s="802">
        <f t="shared" si="0"/>
        <v>67</v>
      </c>
      <c r="D2" s="802">
        <f t="shared" si="0"/>
        <v>68</v>
      </c>
      <c r="E2" s="802">
        <f t="shared" si="0"/>
        <v>69</v>
      </c>
      <c r="F2" s="802">
        <f t="shared" si="0"/>
        <v>70</v>
      </c>
      <c r="G2" s="802">
        <f t="shared" si="0"/>
        <v>71</v>
      </c>
      <c r="H2" s="802">
        <f t="shared" si="0"/>
        <v>72</v>
      </c>
      <c r="I2" s="802">
        <f t="shared" si="0"/>
        <v>73</v>
      </c>
      <c r="J2" s="802">
        <f t="shared" si="0"/>
        <v>74</v>
      </c>
      <c r="K2" s="802">
        <f t="shared" si="0"/>
        <v>75</v>
      </c>
      <c r="L2" s="802">
        <f t="shared" si="0"/>
        <v>76</v>
      </c>
      <c r="M2" s="802">
        <f t="shared" si="0"/>
        <v>77</v>
      </c>
      <c r="N2" s="802">
        <f t="shared" si="0"/>
        <v>78</v>
      </c>
      <c r="O2" s="802">
        <f t="shared" si="0"/>
        <v>79</v>
      </c>
      <c r="P2" s="802">
        <f t="shared" si="0"/>
        <v>80</v>
      </c>
      <c r="Q2" s="802">
        <f t="shared" si="0"/>
        <v>81</v>
      </c>
      <c r="R2" s="802">
        <f t="shared" si="0"/>
        <v>82</v>
      </c>
      <c r="S2" s="802">
        <f t="shared" si="1"/>
        <v>83</v>
      </c>
      <c r="T2" s="802">
        <f t="shared" si="1"/>
        <v>84</v>
      </c>
      <c r="U2" s="802">
        <f t="shared" si="1"/>
        <v>85</v>
      </c>
      <c r="V2" s="802">
        <f t="shared" si="1"/>
        <v>86</v>
      </c>
      <c r="W2" s="802">
        <f t="shared" si="1"/>
        <v>87</v>
      </c>
      <c r="X2" s="802">
        <f t="shared" si="1"/>
        <v>88</v>
      </c>
      <c r="Y2" s="802">
        <f t="shared" si="1"/>
        <v>89</v>
      </c>
      <c r="Z2" s="802">
        <f t="shared" si="1"/>
        <v>90</v>
      </c>
      <c r="AC2" s="803" t="s">
        <v>401</v>
      </c>
      <c r="AD2" s="803" t="s">
        <v>278</v>
      </c>
      <c r="AG2" s="803" t="s">
        <v>410</v>
      </c>
      <c r="AH2" s="804" t="s">
        <v>75</v>
      </c>
    </row>
    <row r="3" spans="1:34">
      <c r="AC3" s="803" t="s">
        <v>55</v>
      </c>
      <c r="AD3" s="803" t="s">
        <v>55</v>
      </c>
      <c r="AG3" s="803" t="s">
        <v>26</v>
      </c>
      <c r="AH3" s="804" t="s">
        <v>77</v>
      </c>
    </row>
    <row r="4" spans="1:34">
      <c r="A4" s="802" t="str">
        <f t="shared" ref="A4:Z5" si="2" xml:space="preserve"> CHAR(A1)</f>
        <v>a</v>
      </c>
      <c r="B4" s="802" t="str">
        <f t="shared" si="2"/>
        <v>b</v>
      </c>
      <c r="C4" s="802" t="str">
        <f t="shared" si="2"/>
        <v>c</v>
      </c>
      <c r="D4" s="802" t="str">
        <f t="shared" si="2"/>
        <v>d</v>
      </c>
      <c r="E4" s="802" t="str">
        <f t="shared" si="2"/>
        <v>e</v>
      </c>
      <c r="F4" s="802" t="str">
        <f t="shared" si="2"/>
        <v>f</v>
      </c>
      <c r="G4" s="802" t="str">
        <f t="shared" si="2"/>
        <v>g</v>
      </c>
      <c r="H4" s="802" t="str">
        <f t="shared" si="2"/>
        <v>h</v>
      </c>
      <c r="I4" s="802" t="str">
        <f t="shared" si="2"/>
        <v>i</v>
      </c>
      <c r="J4" s="802" t="str">
        <f t="shared" si="2"/>
        <v>j</v>
      </c>
      <c r="K4" s="802" t="str">
        <f t="shared" si="2"/>
        <v>k</v>
      </c>
      <c r="L4" s="802" t="str">
        <f t="shared" si="2"/>
        <v>l</v>
      </c>
      <c r="M4" s="802" t="str">
        <f t="shared" si="2"/>
        <v>m</v>
      </c>
      <c r="N4" s="802" t="str">
        <f t="shared" si="2"/>
        <v>n</v>
      </c>
      <c r="O4" s="802" t="str">
        <f t="shared" si="2"/>
        <v>o</v>
      </c>
      <c r="P4" s="802" t="str">
        <f t="shared" si="2"/>
        <v>p</v>
      </c>
      <c r="Q4" s="802" t="str">
        <f t="shared" si="2"/>
        <v>q</v>
      </c>
      <c r="R4" s="802" t="str">
        <f t="shared" si="2"/>
        <v>r</v>
      </c>
      <c r="S4" s="802" t="str">
        <f t="shared" si="2"/>
        <v>s</v>
      </c>
      <c r="T4" s="802" t="str">
        <f t="shared" si="2"/>
        <v>t</v>
      </c>
      <c r="U4" s="802" t="str">
        <f t="shared" si="2"/>
        <v>u</v>
      </c>
      <c r="V4" s="802" t="str">
        <f t="shared" si="2"/>
        <v>v</v>
      </c>
      <c r="W4" s="802" t="str">
        <f t="shared" si="2"/>
        <v>w</v>
      </c>
      <c r="X4" s="802" t="str">
        <f t="shared" si="2"/>
        <v>x</v>
      </c>
      <c r="Y4" s="802" t="str">
        <f t="shared" si="2"/>
        <v>y</v>
      </c>
      <c r="Z4" s="802" t="str">
        <f t="shared" si="2"/>
        <v>z</v>
      </c>
      <c r="AC4" s="803" t="s">
        <v>239</v>
      </c>
      <c r="AD4" s="803" t="s">
        <v>253</v>
      </c>
      <c r="AG4" s="803" t="s">
        <v>481</v>
      </c>
      <c r="AH4" s="804" t="s">
        <v>79</v>
      </c>
    </row>
    <row r="5" spans="1:34">
      <c r="A5" s="802" t="str">
        <f t="shared" si="2"/>
        <v>A</v>
      </c>
      <c r="B5" s="802" t="str">
        <f t="shared" si="2"/>
        <v>B</v>
      </c>
      <c r="C5" s="802" t="str">
        <f t="shared" si="2"/>
        <v>C</v>
      </c>
      <c r="D5" s="802" t="str">
        <f t="shared" si="2"/>
        <v>D</v>
      </c>
      <c r="E5" s="802" t="str">
        <f t="shared" si="2"/>
        <v>E</v>
      </c>
      <c r="F5" s="802" t="str">
        <f t="shared" si="2"/>
        <v>F</v>
      </c>
      <c r="G5" s="802" t="str">
        <f t="shared" si="2"/>
        <v>G</v>
      </c>
      <c r="H5" s="802" t="str">
        <f t="shared" si="2"/>
        <v>H</v>
      </c>
      <c r="I5" s="802" t="str">
        <f t="shared" si="2"/>
        <v>I</v>
      </c>
      <c r="J5" s="802" t="str">
        <f t="shared" si="2"/>
        <v>J</v>
      </c>
      <c r="K5" s="802" t="str">
        <f t="shared" si="2"/>
        <v>K</v>
      </c>
      <c r="L5" s="802" t="str">
        <f t="shared" si="2"/>
        <v>L</v>
      </c>
      <c r="M5" s="802" t="str">
        <f t="shared" si="2"/>
        <v>M</v>
      </c>
      <c r="N5" s="802" t="str">
        <f t="shared" si="2"/>
        <v>N</v>
      </c>
      <c r="O5" s="802" t="str">
        <f t="shared" si="2"/>
        <v>O</v>
      </c>
      <c r="P5" s="802" t="str">
        <f t="shared" si="2"/>
        <v>P</v>
      </c>
      <c r="Q5" s="802" t="str">
        <f t="shared" si="2"/>
        <v>Q</v>
      </c>
      <c r="R5" s="802" t="str">
        <f t="shared" si="2"/>
        <v>R</v>
      </c>
      <c r="S5" s="802" t="str">
        <f t="shared" si="2"/>
        <v>S</v>
      </c>
      <c r="T5" s="802" t="str">
        <f t="shared" si="2"/>
        <v>T</v>
      </c>
      <c r="U5" s="802" t="str">
        <f t="shared" si="2"/>
        <v>U</v>
      </c>
      <c r="V5" s="802" t="str">
        <f t="shared" si="2"/>
        <v>V</v>
      </c>
      <c r="W5" s="802" t="str">
        <f t="shared" si="2"/>
        <v>W</v>
      </c>
      <c r="X5" s="802" t="str">
        <f t="shared" si="2"/>
        <v>X</v>
      </c>
      <c r="Y5" s="802" t="str">
        <f t="shared" si="2"/>
        <v>Y</v>
      </c>
      <c r="Z5" s="802" t="str">
        <f t="shared" si="2"/>
        <v>Z</v>
      </c>
      <c r="AC5" s="803" t="s">
        <v>57</v>
      </c>
      <c r="AD5" s="803" t="s">
        <v>57</v>
      </c>
    </row>
    <row r="6" spans="1:34">
      <c r="AC6" s="803" t="s">
        <v>230</v>
      </c>
      <c r="AD6" s="803" t="s">
        <v>245</v>
      </c>
    </row>
    <row r="7" spans="1:34">
      <c r="A7" s="805" t="s">
        <v>351</v>
      </c>
      <c r="B7" s="805" t="s">
        <v>190</v>
      </c>
      <c r="C7" s="805" t="s">
        <v>305</v>
      </c>
      <c r="D7" s="805" t="s">
        <v>309</v>
      </c>
      <c r="E7" s="805" t="s">
        <v>329</v>
      </c>
      <c r="F7" s="805" t="s">
        <v>600</v>
      </c>
      <c r="G7" s="805" t="s">
        <v>184</v>
      </c>
      <c r="H7" s="805" t="s">
        <v>422</v>
      </c>
      <c r="I7" s="805" t="s">
        <v>279</v>
      </c>
      <c r="J7" s="805" t="s">
        <v>254</v>
      </c>
      <c r="K7" s="805" t="s">
        <v>37</v>
      </c>
      <c r="L7" s="805" t="s">
        <v>86</v>
      </c>
      <c r="M7" s="805" t="s">
        <v>143</v>
      </c>
      <c r="N7" s="805" t="s">
        <v>34</v>
      </c>
      <c r="O7" s="805" t="s">
        <v>65</v>
      </c>
      <c r="P7" s="805" t="s">
        <v>217</v>
      </c>
      <c r="Q7" s="805" t="s">
        <v>353</v>
      </c>
      <c r="R7" s="805" t="s">
        <v>283</v>
      </c>
      <c r="S7" s="805" t="s">
        <v>338</v>
      </c>
      <c r="T7" s="805" t="s">
        <v>30</v>
      </c>
      <c r="U7" s="805" t="s">
        <v>196</v>
      </c>
      <c r="V7" s="805" t="s">
        <v>601</v>
      </c>
      <c r="W7" s="805" t="s">
        <v>341</v>
      </c>
      <c r="X7" s="805" t="s">
        <v>332</v>
      </c>
      <c r="Y7" s="805" t="s">
        <v>588</v>
      </c>
      <c r="Z7" s="805" t="s">
        <v>179</v>
      </c>
      <c r="AC7" s="803" t="s">
        <v>62</v>
      </c>
      <c r="AD7" s="803" t="s">
        <v>62</v>
      </c>
    </row>
    <row r="8" spans="1:34">
      <c r="A8" s="805" t="s">
        <v>609</v>
      </c>
      <c r="B8" s="805" t="s">
        <v>144</v>
      </c>
      <c r="C8" s="805" t="s">
        <v>456</v>
      </c>
      <c r="D8" s="805" t="s">
        <v>189</v>
      </c>
      <c r="E8" s="805" t="s">
        <v>322</v>
      </c>
      <c r="F8" s="805" t="s">
        <v>564</v>
      </c>
      <c r="G8" s="805" t="s">
        <v>141</v>
      </c>
      <c r="H8" s="805" t="s">
        <v>454</v>
      </c>
      <c r="I8" s="805" t="s">
        <v>275</v>
      </c>
      <c r="J8" s="805" t="s">
        <v>249</v>
      </c>
      <c r="K8" s="805" t="s">
        <v>425</v>
      </c>
      <c r="L8" s="805" t="s">
        <v>231</v>
      </c>
      <c r="M8" s="805" t="s">
        <v>525</v>
      </c>
      <c r="N8" s="806" t="s">
        <v>569</v>
      </c>
      <c r="O8" s="807" t="s">
        <v>267</v>
      </c>
      <c r="P8" s="805" t="s">
        <v>400</v>
      </c>
      <c r="Q8" s="805" t="s">
        <v>558</v>
      </c>
      <c r="R8" s="805" t="s">
        <v>560</v>
      </c>
      <c r="S8" s="805" t="s">
        <v>460</v>
      </c>
      <c r="T8" s="805" t="s">
        <v>408</v>
      </c>
      <c r="U8" s="805" t="s">
        <v>259</v>
      </c>
      <c r="V8" s="805" t="s">
        <v>568</v>
      </c>
      <c r="W8" s="805" t="s">
        <v>559</v>
      </c>
      <c r="X8" s="805" t="s">
        <v>567</v>
      </c>
      <c r="Y8" s="805" t="s">
        <v>447</v>
      </c>
      <c r="Z8" s="805" t="s">
        <v>449</v>
      </c>
      <c r="AC8" s="803" t="s">
        <v>421</v>
      </c>
      <c r="AD8" s="803" t="s">
        <v>263</v>
      </c>
    </row>
    <row r="9" spans="1:34">
      <c r="AC9" s="803" t="s">
        <v>69</v>
      </c>
      <c r="AD9" s="803" t="s">
        <v>68</v>
      </c>
    </row>
    <row r="10" spans="1:34">
      <c r="A10" s="808" t="s">
        <v>276</v>
      </c>
      <c r="C10" s="803" t="s">
        <v>8808</v>
      </c>
      <c r="E10" s="803" t="s">
        <v>218</v>
      </c>
      <c r="G10" s="807" t="s">
        <v>328</v>
      </c>
      <c r="AC10" s="803" t="s">
        <v>397</v>
      </c>
      <c r="AD10" s="803" t="s">
        <v>486</v>
      </c>
    </row>
    <row r="11" spans="1:34">
      <c r="A11" s="808" t="s">
        <v>513</v>
      </c>
      <c r="C11" s="803" t="s">
        <v>8809</v>
      </c>
      <c r="E11" s="803" t="s">
        <v>426</v>
      </c>
      <c r="G11" s="807" t="s">
        <v>438</v>
      </c>
      <c r="AC11" s="803" t="s">
        <v>66</v>
      </c>
      <c r="AD11" s="803" t="s">
        <v>66</v>
      </c>
    </row>
    <row r="12" spans="1:34">
      <c r="A12" s="808" t="s">
        <v>518</v>
      </c>
      <c r="C12" s="803" t="s">
        <v>8810</v>
      </c>
      <c r="E12" s="803" t="s">
        <v>421</v>
      </c>
      <c r="G12" s="807" t="s">
        <v>396</v>
      </c>
      <c r="AC12" s="803" t="s">
        <v>497</v>
      </c>
      <c r="AD12" s="803" t="s">
        <v>26</v>
      </c>
    </row>
    <row r="13" spans="1:34">
      <c r="A13" s="808" t="s">
        <v>270</v>
      </c>
      <c r="C13" s="803" t="s">
        <v>8811</v>
      </c>
      <c r="E13" s="803" t="s">
        <v>368</v>
      </c>
      <c r="G13" s="807" t="s">
        <v>435</v>
      </c>
      <c r="AC13" s="803" t="s">
        <v>413</v>
      </c>
      <c r="AD13" s="803" t="s">
        <v>71</v>
      </c>
    </row>
    <row r="14" spans="1:34">
      <c r="A14" s="808" t="s">
        <v>273</v>
      </c>
      <c r="C14" s="803" t="s">
        <v>8812</v>
      </c>
      <c r="E14" s="803" t="s">
        <v>69</v>
      </c>
      <c r="G14" s="807" t="s">
        <v>443</v>
      </c>
      <c r="AC14" s="803" t="s">
        <v>414</v>
      </c>
      <c r="AD14" s="803" t="s">
        <v>493</v>
      </c>
    </row>
    <row r="15" spans="1:34">
      <c r="A15" s="808" t="s">
        <v>268</v>
      </c>
      <c r="C15" s="803" t="s">
        <v>8813</v>
      </c>
      <c r="E15" s="803" t="s">
        <v>413</v>
      </c>
      <c r="G15" s="807" t="s">
        <v>413</v>
      </c>
      <c r="AC15" s="803" t="s">
        <v>370</v>
      </c>
      <c r="AD15" s="803" t="s">
        <v>73</v>
      </c>
    </row>
    <row r="16" spans="1:34">
      <c r="A16" s="808" t="s">
        <v>265</v>
      </c>
      <c r="C16" s="803" t="s">
        <v>8814</v>
      </c>
      <c r="E16" s="803" t="s">
        <v>370</v>
      </c>
      <c r="G16" s="807" t="s">
        <v>370</v>
      </c>
      <c r="AC16" s="803" t="s">
        <v>374</v>
      </c>
      <c r="AD16" s="803" t="s">
        <v>499</v>
      </c>
    </row>
    <row r="18" spans="29:30">
      <c r="AC18" s="803" t="s">
        <v>439</v>
      </c>
      <c r="AD18" s="803" t="s">
        <v>96</v>
      </c>
    </row>
    <row r="19" spans="29:30">
      <c r="AC19" s="803" t="s">
        <v>404</v>
      </c>
      <c r="AD19" s="803" t="s">
        <v>98</v>
      </c>
    </row>
    <row r="20" spans="29:30">
      <c r="AC20" s="803" t="s">
        <v>375</v>
      </c>
      <c r="AD20" s="803" t="s">
        <v>102</v>
      </c>
    </row>
    <row r="21" spans="29:30">
      <c r="AC21" s="803" t="s">
        <v>436</v>
      </c>
      <c r="AD21" s="803" t="s">
        <v>126</v>
      </c>
    </row>
    <row r="22" spans="29:30">
      <c r="AC22" s="803" t="s">
        <v>444</v>
      </c>
      <c r="AD22" s="803" t="s">
        <v>100</v>
      </c>
    </row>
    <row r="24" spans="29:30">
      <c r="AC24" s="803" t="s">
        <v>435</v>
      </c>
      <c r="AD24" s="803" t="s">
        <v>8743</v>
      </c>
    </row>
    <row r="25" spans="29:30">
      <c r="AC25" s="803" t="s">
        <v>438</v>
      </c>
      <c r="AD25" s="803" t="s">
        <v>8741</v>
      </c>
    </row>
    <row r="26" spans="29:30">
      <c r="AC26" s="803" t="s">
        <v>396</v>
      </c>
      <c r="AD26" s="803" t="s">
        <v>8742</v>
      </c>
    </row>
    <row r="27" spans="29:30">
      <c r="AC27" s="803" t="s">
        <v>443</v>
      </c>
      <c r="AD27" s="803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  <sheetView workbookViewId="1"/>
  </sheetViews>
  <sheetFormatPr defaultRowHeight="21"/>
  <cols>
    <col min="2" max="2" width="12.3984375" customWidth="1"/>
  </cols>
  <sheetData>
    <row r="2" spans="2:4" ht="38.25">
      <c r="B2" s="404" t="s">
        <v>633</v>
      </c>
      <c r="C2" s="788">
        <f xml:space="preserve"> HEX2DEC( RIGHT(B2,4))</f>
        <v>63696</v>
      </c>
      <c r="D2" s="789" t="str">
        <f xml:space="preserve"> _xlfn.UNICHAR(C2)</f>
        <v></v>
      </c>
    </row>
    <row r="3" spans="2:4" ht="38.25">
      <c r="B3" s="404" t="s">
        <v>634</v>
      </c>
      <c r="C3" s="788">
        <f xml:space="preserve"> HEX2DEC( RIGHT(B3,4))</f>
        <v>63697</v>
      </c>
      <c r="D3" s="789" t="str">
        <f xml:space="preserve"> _xlfn.UNICHAR(C3)</f>
        <v></v>
      </c>
    </row>
    <row r="4" spans="2:4" ht="38.25">
      <c r="B4" s="404" t="s">
        <v>635</v>
      </c>
      <c r="C4" s="788">
        <f xml:space="preserve"> HEX2DEC( RIGHT(B4,4))</f>
        <v>63698</v>
      </c>
      <c r="D4" s="789" t="str">
        <f xml:space="preserve"> _xlfn.UNICHAR(C4)</f>
        <v></v>
      </c>
    </row>
    <row r="5" spans="2:4" ht="38.25">
      <c r="B5" s="404" t="s">
        <v>636</v>
      </c>
      <c r="C5" s="788">
        <f xml:space="preserve"> HEX2DEC( RIGHT(B5,4))</f>
        <v>63699</v>
      </c>
      <c r="D5" s="789" t="str">
        <f xml:space="preserve"> _xlfn.UNICHAR(C5)</f>
        <v></v>
      </c>
    </row>
    <row r="6" spans="2:4" ht="38.25">
      <c r="B6" s="370"/>
      <c r="C6" s="788"/>
      <c r="D6" s="789"/>
    </row>
    <row r="7" spans="2:4" ht="38.25">
      <c r="B7" s="404" t="s">
        <v>637</v>
      </c>
      <c r="C7" s="788">
        <f xml:space="preserve"> HEX2DEC( RIGHT(B7,4))</f>
        <v>63712</v>
      </c>
      <c r="D7" s="789" t="str">
        <f xml:space="preserve"> _xlfn.UNICHAR(C7)</f>
        <v></v>
      </c>
    </row>
    <row r="8" spans="2:4" ht="38.25">
      <c r="B8" s="404" t="s">
        <v>638</v>
      </c>
      <c r="C8" s="788">
        <f xml:space="preserve"> HEX2DEC( RIGHT(B8,4))</f>
        <v>63713</v>
      </c>
      <c r="D8" s="789" t="str">
        <f xml:space="preserve"> _xlfn.UNICHAR(C8)</f>
        <v></v>
      </c>
    </row>
    <row r="9" spans="2:4" ht="38.25">
      <c r="B9" s="370"/>
      <c r="C9" s="788"/>
      <c r="D9" s="789"/>
    </row>
    <row r="10" spans="2:4" ht="38.25">
      <c r="B10" s="404" t="s">
        <v>639</v>
      </c>
      <c r="C10" s="788">
        <f xml:space="preserve"> HEX2DEC( RIGHT(B10,4))</f>
        <v>63728</v>
      </c>
      <c r="D10" s="789" t="str">
        <f xml:space="preserve"> _xlfn.UNICHAR(C10)</f>
        <v></v>
      </c>
    </row>
    <row r="11" spans="2:4" ht="38.25">
      <c r="B11" s="404" t="s">
        <v>640</v>
      </c>
      <c r="C11" s="788">
        <f xml:space="preserve"> HEX2DEC( RIGHT(B11,4))</f>
        <v>63729</v>
      </c>
      <c r="D11" s="789" t="str">
        <f xml:space="preserve"> _xlfn.UNICHAR(C11)</f>
        <v></v>
      </c>
    </row>
    <row r="12" spans="2:4" ht="38.25">
      <c r="B12" s="404" t="s">
        <v>641</v>
      </c>
      <c r="C12" s="788">
        <f xml:space="preserve"> HEX2DEC( RIGHT(B12,4))</f>
        <v>63730</v>
      </c>
      <c r="D12" s="789" t="str">
        <f xml:space="preserve"> _xlfn.UNICHAR(C12)</f>
        <v></v>
      </c>
    </row>
    <row r="13" spans="2:4" ht="38.25">
      <c r="B13" s="404" t="s">
        <v>642</v>
      </c>
      <c r="C13" s="788">
        <f xml:space="preserve"> HEX2DEC( RIGHT(B13,4))</f>
        <v>63731</v>
      </c>
      <c r="D13" s="78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  <sheetView workbookViewId="1"/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  <sheetView workbookViewId="1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e">
        <f ca="1">AL19</f>
        <v>#N/A</v>
      </c>
      <c r="AG4" s="258"/>
      <c r="AH4" s="259" t="e">
        <f ca="1">AL20</f>
        <v>#N/A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v</v>
      </c>
      <c r="BT14" s="549" t="str">
        <f t="shared" si="3"/>
        <v xml:space="preserve">    "E": { commit: "ㆣ" }  # /g/ ==&gt; v</v>
      </c>
      <c r="BV14" s="236">
        <f t="shared" si="1"/>
        <v>11</v>
      </c>
      <c r="BW14" s="263" t="str">
        <f t="shared" si="2"/>
        <v>- xform/v/E/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v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D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X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R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e" cm="1">
        <f t="array" aca="1" ref="AL18" ca="1" xml:space="preserve"> INDEX($BR$4:$BR$61, MATCH(TRUE, EXACT(AL$17, $BO$4:$BO$61), 0))</f>
        <v>#N/A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6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e" cm="1">
        <f t="array" aca="1" ref="AL19" ca="1" xml:space="preserve"> INDEX($BP$4:$BP$61, MATCH(TRUE, EXACT(AL$17, $BO$4:$BO$61), 0))</f>
        <v>#N/A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e" cm="1">
        <f t="array" aca="1" ref="AL20" ca="1" xml:space="preserve"> INDEX($BQ$4:$BQ$61, MATCH(TRUE, EXACT(AL$17, $BO$4:$BO$61), 0))</f>
        <v>#N/A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D</v>
      </c>
      <c r="BT21" s="549" t="str">
        <f t="shared" si="3"/>
        <v xml:space="preserve">    "U": { commit: "ㆪ" }  # /inn/ ==&gt; D</v>
      </c>
      <c r="BV21" s="195">
        <f t="shared" si="1"/>
        <v>18</v>
      </c>
      <c r="BW21" s="263" t="str">
        <f t="shared" si="2"/>
        <v>- xform/D/U/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xform/X/J/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X</v>
      </c>
      <c r="BT23" s="549" t="str">
        <f t="shared" si="3"/>
        <v xml:space="preserve">    "J": { commit: "ㆫ" }  # /unn/ ==&gt; X</v>
      </c>
      <c r="BV23" s="195">
        <f t="shared" si="1"/>
        <v>20</v>
      </c>
      <c r="BW23" s="263" t="str">
        <f xml:space="preserve"> "- xform/" &amp; BR25 &amp; "/" &amp; BO25 &amp; "/"</f>
        <v>- xform/R/*/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R</v>
      </c>
      <c r="BT25" s="549" t="str">
        <f t="shared" si="3"/>
        <v xml:space="preserve">    "*": { commit: "ㆩ" }  # /ann/ ==&gt; R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Q</v>
      </c>
      <c r="BT27" s="549" t="str">
        <f t="shared" si="3"/>
        <v xml:space="preserve">    "I": { commit: "ㆧ" }  # /onn/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E</v>
      </c>
      <c r="BT30" s="549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e" cm="1">
        <f t="array" ref="BP38" xml:space="preserve"> INDEX(注音編碼對照表BAK[方音符號], MATCH(TRUE, EXACT('鍵盤設計 (2)'!$BO38,注音編碼對照表BAK[鍵盤按鍵]), 0))</f>
        <v>#N/A</v>
      </c>
      <c r="BQ38" s="107" t="e" cm="1">
        <f t="array" ref="BQ38" xml:space="preserve"> INDEX(注音編碼對照表BAK[注音二式], MATCH(TRUE, EXACT('鍵盤設計 (2)'!$BO38,注音編碼對照表BAK[鍵盤按鍵]), 0))</f>
        <v>#N/A</v>
      </c>
      <c r="BR38" s="34" t="e" cm="1">
        <f t="array" ref="BR38" xml:space="preserve"> INDEX(注音編碼對照表BAK[字典編碼], MATCH(TRUE, EXACT('鍵盤設計 (2)'!$BO38,注音編碼對照表BAK[鍵盤按鍵]), 0))</f>
        <v>#N/A</v>
      </c>
      <c r="BT38" s="549" t="e">
        <f t="shared" si="3"/>
        <v>#N/A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e">
        <f xml:space="preserve"> "- xform/" &amp; BR38 &amp; "/" &amp; BO38 &amp; "/"</f>
        <v>#N/A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xform/6/5/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xform/3/4/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xform/5/3/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xform/2/6/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6</v>
      </c>
      <c r="BT54" s="549" t="str">
        <f t="shared" si="3"/>
        <v xml:space="preserve">    "5": { commit: "˫" }  # /7/ ==&gt; 6</v>
      </c>
      <c r="BV54" s="236">
        <f t="shared" si="4"/>
        <v>50</v>
      </c>
      <c r="BW54" s="237" t="str">
        <f t="shared" si="5"/>
        <v>- xform/6/5/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cm="1">
        <f t="array" ref="BR57" xml:space="preserve"> INDEX(注音編碼對照表BAK[字典編碼], MATCH(TRUE, EXACT('鍵盤設計 (2)'!$BO57,注音編碼對照表BAK[鍵盤按鍵]), 0))</f>
        <v>3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cm="1">
        <f t="array" ref="BR58" xml:space="preserve"> INDEX(注音編碼對照表BAK[字典編碼], MATCH(TRUE, EXACT('鍵盤設計 (2)'!$BO58,注音編碼對照表BAK[鍵盤按鍵]), 0))</f>
        <v>5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cm="1">
        <f t="array" ref="BR59" xml:space="preserve"> INDEX(注音編碼對照表BAK[字典編碼], MATCH(TRUE, EXACT('鍵盤設計 (2)'!$BO59,注音編碼對照表BAK[鍵盤按鍵]), 0))</f>
        <v>2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6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  <sheetView workbookViewId="1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  <sheetView workbookViewId="1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  <sheetView workbookViewId="1"/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1" t="s">
        <v>14</v>
      </c>
      <c r="C2" s="782" t="s">
        <v>386</v>
      </c>
      <c r="D2" s="783" t="s">
        <v>694</v>
      </c>
      <c r="E2" s="782" t="s">
        <v>8713</v>
      </c>
      <c r="F2" s="783" t="s">
        <v>388</v>
      </c>
      <c r="G2" s="782" t="s">
        <v>884</v>
      </c>
      <c r="H2" s="784" t="s">
        <v>17</v>
      </c>
      <c r="I2" s="785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v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D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X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R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Q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E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cm="1">
        <f t="array" ref="H52">IFERROR( INDEX(鍵盤設計!$Q$5:$Q$61, MATCH(TRUE, EXACT(注音編碼對照表BAK[[#This Row],[方音符號]], 鍵盤設計!$P$5:$P$61),0)), "")</f>
        <v>3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cm="1">
        <f t="array" ref="H53">IFERROR( INDEX(鍵盤設計!$Q$5:$Q$61, MATCH(TRUE, EXACT(注音編碼對照表BAK[[#This Row],[方音符號]], 鍵盤設計!$P$5:$P$61),0)), "")</f>
        <v>5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cm="1">
        <f t="array" ref="H54">IFERROR( INDEX(鍵盤設計!$Q$5:$Q$61, MATCH(TRUE, EXACT(注音編碼對照表BAK[[#This Row],[方音符號]], 鍵盤設計!$P$5:$P$61),0)), "")</f>
        <v>2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6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0">
        <f>ROW() - 2</f>
        <v>55</v>
      </c>
      <c r="C57" s="538" t="s">
        <v>8767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0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>鍵</v>
      </c>
      <c r="F58" s="379" t="str" cm="1">
        <f t="array" ref="F58">IFERROR( INDEX(鍵盤設計!$S$5:$S$61, MATCH(TRUE, EXACT(注音編碼對照表BAK[[#This Row],[方音符號]], 鍵盤設計!$P$5:$P$61),0)), "")</f>
        <v>nn</v>
      </c>
      <c r="G58" s="542" t="str" cm="1">
        <f t="array" ref="G58">IFERROR( INDEX(鍵盤設計!$R$5:$R$61, MATCH(TRUE, EXACT(注音編碼對照表BAK[[#This Row],[方音符號]], 鍵盤設計!$P$5:$P$61),0)),"")</f>
        <v>nn</v>
      </c>
      <c r="H58" s="354" t="str" cm="1">
        <f t="array" ref="H58">IFERROR( INDEX(鍵盤設計!$Q$5:$Q$61, MATCH(TRUE, EXACT(注音編碼對照表BAK[[#This Row],[方音符號]], 鍵盤設計!$P$5:$P$61),0)), "")</f>
        <v>L</v>
      </c>
      <c r="I58" s="71" t="str" cm="1">
        <f t="array" ref="I58">IFERROR( INDEX(鍵盤設計!$O$5:$O$61, MATCH(TRUE, EXACT(注音編碼對照表BAK[[#This Row],[方音符號]], 鍵盤設計!$P$5:$P$61),0)), "")</f>
        <v>?</v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/>
      </c>
      <c r="F59" s="379" t="str" cm="1">
        <f t="array" ref="F59">IFERROR( INDEX(鍵盤設計!$S$5:$S$61, MATCH(TRUE, EXACT(注音編碼對照表BAK[[#This Row],[方音符號]], 鍵盤設計!$P$5:$P$61),0)), "")</f>
        <v/>
      </c>
      <c r="G59" s="542" t="str" cm="1">
        <f t="array" ref="G59">IFERROR( INDEX(鍵盤設計!$R$5:$R$61, MATCH(TRUE, EXACT(注音編碼對照表BAK[[#This Row],[方音符號]], 鍵盤設計!$P$5:$P$61),0)),"")</f>
        <v/>
      </c>
      <c r="H59" s="354" t="str" cm="1">
        <f t="array" ref="H59">IFERROR( INDEX(鍵盤設計!$Q$5:$Q$61, MATCH(TRUE, EXACT(注音編碼對照表BAK[[#This Row],[方音符號]], 鍵盤設計!$P$5:$P$61),0)), "")</f>
        <v/>
      </c>
      <c r="I59" s="71" t="str" cm="1">
        <f t="array" ref="I59">IFERROR( INDEX(鍵盤設計!$O$5:$O$61, MATCH(TRUE, EXACT(注音編碼對照表BAK[[#This Row],[方音符號]], 鍵盤設計!$P$5:$P$61),0)), "")</f>
        <v/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  <sheetView workbookViewId="1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  <sheetView workbookViewId="1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  <sheetView workbookViewId="1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  <sheetView workbookViewId="1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p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k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v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D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X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R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Q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E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ann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oonn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str" cm="1">
        <f t="array" ref="X42" xml:space="preserve"> INDEX('注音編碼對照表（old）'!$F$3:$F$59, MATCH(TRUE, EXACT(表格1_33411[[#This Row],[注音編碼]], '注音編碼對照表（old）'!$H$3:$H$59), 0))</f>
        <v>enn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str" cm="1">
        <f t="array" ref="X44" xml:space="preserve"> INDEX('注音編碼對照表（old）'!$F$3:$F$59, MATCH(TRUE, EXACT(表格1_33411[[#This Row],[注音編碼]], '注音編碼對照表（old）'!$H$3:$H$59), 0))</f>
        <v>unn</v>
      </c>
      <c r="Y44" s="24"/>
      <c r="Z44" s="87">
        <f t="shared" si="10"/>
        <v>42</v>
      </c>
      <c r="AA44" s="71" t="str">
        <f>'注音編碼對照表（old）'!$I59</f>
        <v/>
      </c>
      <c r="AB44" s="421" t="str" cm="1">
        <f t="array" ref="AB44" xml:space="preserve"> INDEX(注音編碼對照表BAK[字典編碼], MATCH(TRUE, EXACT(RIME設定解析!$AA44, 注音編碼對照表BAK[鍵盤按鍵] ),0))</f>
        <v/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/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cm="1">
        <f t="array" ref="AB45" xml:space="preserve"> INDEX(注音編碼對照表BAK[字典編碼], MATCH(TRUE, EXACT(RIME設定解析!$AA45, 注音編碼對照表BAK[鍵盤按鍵] ),0))</f>
        <v>3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cm="1">
        <f t="array" ref="AB46" xml:space="preserve"> INDEX(注音編碼對照表BAK[字典編碼], MATCH(TRUE, EXACT(RIME設定解析!$AA46, 注音編碼對照表BAK[鍵盤按鍵] ),0))</f>
        <v>5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cm="1">
        <f t="array" ref="AB47" xml:space="preserve"> INDEX(注音編碼對照表BAK[字典編碼], MATCH(TRUE, EXACT(RIME設定解析!$AA47, 注音編碼對照表BAK[鍵盤按鍵] ),0))</f>
        <v>2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6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5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2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3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t="e" cm="1">
        <f t="array" ref="X52" xml:space="preserve"> INDEX('注音編碼對照表（old）'!$F$3:$F$59, MATCH(TRUE, EXACT(表格1_33411[[#This Row],[注音編碼]], '注音編碼對照表（old）'!$H$3:$H$59), 0))</f>
        <v>#N/A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  <sheetView workbookViewId="1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  <sheetView workbookViewId="1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  <sheetView workbookViewId="1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  <sheetView workbookViewId="1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  <sheetView workbookViewId="1"/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49" customFormat="1" ht="30">
      <c r="B3" s="748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  <sheetView workbookViewId="1"/>
  </sheetViews>
  <sheetFormatPr defaultRowHeight="21"/>
  <sheetData>
    <row r="4" spans="2:12">
      <c r="B4" s="848" t="s">
        <v>680</v>
      </c>
      <c r="C4" s="848" t="s">
        <v>682</v>
      </c>
      <c r="D4" s="848"/>
      <c r="E4" s="501" t="s">
        <v>753</v>
      </c>
      <c r="F4" s="502"/>
      <c r="G4" s="503"/>
      <c r="H4" s="849" t="s">
        <v>754</v>
      </c>
      <c r="I4" s="851"/>
      <c r="J4" s="851"/>
      <c r="K4" s="851"/>
      <c r="L4" s="850"/>
    </row>
    <row r="5" spans="2:12">
      <c r="B5" s="848"/>
      <c r="C5" s="848"/>
      <c r="D5" s="848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49" t="s">
        <v>758</v>
      </c>
      <c r="L5" s="850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2025-11-14T12:34:50Z</dcterms:modified>
</cp:coreProperties>
</file>