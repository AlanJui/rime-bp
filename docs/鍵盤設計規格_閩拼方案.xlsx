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ime-bp\docs\"/>
    </mc:Choice>
  </mc:AlternateContent>
  <xr:revisionPtr revIDLastSave="0" documentId="13_ncr:1_{E57A1D78-92BA-4B66-96FA-9B1BF1AE84E9}" xr6:coauthVersionLast="47" xr6:coauthVersionMax="47" xr10:uidLastSave="{00000000-0000-0000-0000-000000000000}"/>
  <bookViews>
    <workbookView xWindow="28680" yWindow="-195" windowWidth="38640" windowHeight="15720" activeTab="6" xr2:uid="{04CC9D16-FD39-44FC-8B9B-5ACA8C592D07}"/>
  </bookViews>
  <sheets>
    <sheet name="原鍵盤設計" sheetId="16" r:id="rId1"/>
    <sheet name="鍵盤設計" sheetId="22" r:id="rId2"/>
    <sheet name="注音編碼對照表" sheetId="31" r:id="rId3"/>
    <sheet name="RIME設定【閩拼】" sheetId="5" r:id="rId4"/>
    <sheet name="英文字母配置查檢工具" sheetId="33" r:id="rId5"/>
    <sheet name="聲調按鍵" sheetId="34" r:id="rId6"/>
    <sheet name="Unicode" sheetId="32" r:id="rId7"/>
    <sheet name="台羅轉換注音二式規則" sheetId="20" r:id="rId8"/>
    <sheet name="ㆦㄜ對映" sheetId="21" r:id="rId9"/>
  </sheets>
  <externalReferences>
    <externalReference r:id="rId10"/>
  </externalReferences>
  <definedNames>
    <definedName name="_xlnm._FilterDatabase" localSheetId="3" hidden="1">RIME設定【閩拼】!$BQ$4:$BT$59</definedName>
    <definedName name="_xlnm._FilterDatabase" localSheetId="1" hidden="1">鍵盤設計!$C$4:$J$94</definedName>
    <definedName name="_xlnm.Criteria" localSheetId="3">RIME設定【閩拼】!$CQ$1:$CQ$2</definedName>
    <definedName name="_xlnm.Criteria" localSheetId="1">鍵盤設計!$O$1:$O$2</definedName>
    <definedName name="_xlnm.Extract" localSheetId="3">RIME設定【閩拼】!$CQ$4:$CV$4</definedName>
    <definedName name="_xlnm.Extract" localSheetId="1">鍵盤設計!$O$4:$V$4</definedName>
    <definedName name="十五音韻母">#REF!</definedName>
    <definedName name="十五音韻母對照表">#REF!</definedName>
    <definedName name="方音符號" localSheetId="3">#REF!</definedName>
    <definedName name="方音符號" localSheetId="8">#REF!</definedName>
    <definedName name="方音符號" localSheetId="7">#REF!</definedName>
    <definedName name="方音符號" localSheetId="4">#REF!</definedName>
    <definedName name="方音符號" localSheetId="1">#REF!</definedName>
    <definedName name="方音符號">[1]RIME編碼!$AA$3:$AA$45</definedName>
    <definedName name="台羅韻母八音反切">#REF!</definedName>
    <definedName name="白話字韻母八音反切">#REF!</definedName>
    <definedName name="字典編碼" localSheetId="3">#REF!</definedName>
    <definedName name="字典編碼" localSheetId="8">#REF!</definedName>
    <definedName name="字典編碼" localSheetId="7">#REF!</definedName>
    <definedName name="字典編碼" localSheetId="4">#REF!</definedName>
    <definedName name="字典編碼" localSheetId="1">#REF!</definedName>
    <definedName name="字典編碼">[1]RIME編碼!$AB$3:$AB$45</definedName>
    <definedName name="注音符號">#REF!</definedName>
    <definedName name="注音編碼">#REF!</definedName>
    <definedName name="拼音字母" localSheetId="3">#REF!</definedName>
    <definedName name="拼音字母" localSheetId="8">#REF!</definedName>
    <definedName name="拼音字母" localSheetId="7">#REF!</definedName>
    <definedName name="拼音字母" localSheetId="4">#REF!</definedName>
    <definedName name="拼音字母" localSheetId="1">#REF!</definedName>
    <definedName name="拼音字母">[1]RIME編碼!$AC$3:$AC$45</definedName>
    <definedName name="閩拼韻母八音反切">#REF!</definedName>
    <definedName name="聲母碼">#REF!</definedName>
    <definedName name="聲母碼表">#REF!</definedName>
    <definedName name="鍵盤位置" localSheetId="3">#REF!</definedName>
    <definedName name="鍵盤位置" localSheetId="8">#REF!</definedName>
    <definedName name="鍵盤位置" localSheetId="7">#REF!</definedName>
    <definedName name="鍵盤位置" localSheetId="4">#REF!</definedName>
    <definedName name="鍵盤位置" localSheetId="1">#REF!</definedName>
    <definedName name="鍵盤位置">[1]RIME編碼!$W$3:$W$40</definedName>
    <definedName name="鍵盤按鍵">#REF!</definedName>
    <definedName name="韻母對照表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2" l="1"/>
  <c r="D4" i="32"/>
  <c r="D5" i="32"/>
  <c r="D6" i="32"/>
  <c r="D7" i="32"/>
  <c r="D8" i="32"/>
  <c r="D9" i="32"/>
  <c r="D10" i="32"/>
  <c r="D11" i="32"/>
  <c r="D12" i="32"/>
  <c r="D13" i="32"/>
  <c r="D2" i="32"/>
  <c r="G10" i="32"/>
  <c r="G9" i="32"/>
  <c r="G8" i="32"/>
  <c r="G7" i="32"/>
  <c r="G6" i="32"/>
  <c r="G5" i="32"/>
  <c r="G4" i="32"/>
  <c r="G3" i="32"/>
  <c r="G2" i="32"/>
  <c r="I9" i="32"/>
  <c r="L9" i="32" s="1"/>
  <c r="I8" i="32"/>
  <c r="L8" i="32" s="1"/>
  <c r="I10" i="32"/>
  <c r="J10" i="32" s="1"/>
  <c r="I18" i="32"/>
  <c r="I17" i="32"/>
  <c r="I16" i="32"/>
  <c r="L7" i="32"/>
  <c r="K7" i="32"/>
  <c r="J7" i="32"/>
  <c r="L6" i="32"/>
  <c r="K6" i="32"/>
  <c r="J6" i="32"/>
  <c r="L5" i="32"/>
  <c r="K5" i="32"/>
  <c r="J5" i="32"/>
  <c r="L4" i="32"/>
  <c r="K4" i="32"/>
  <c r="J4" i="32"/>
  <c r="L3" i="32"/>
  <c r="K3" i="32"/>
  <c r="J3" i="32"/>
  <c r="L2" i="32"/>
  <c r="K2" i="32"/>
  <c r="J2" i="32"/>
  <c r="G56" i="31" a="1"/>
  <c r="G56" i="31" s="1"/>
  <c r="H56" i="31" a="1"/>
  <c r="H56" i="31" s="1"/>
  <c r="I56" i="31" a="1"/>
  <c r="I56" i="31" s="1"/>
  <c r="BN25" i="5"/>
  <c r="BN26" i="5"/>
  <c r="BN27" i="5"/>
  <c r="BN28" i="5"/>
  <c r="BN29" i="5"/>
  <c r="BN30" i="5"/>
  <c r="BN31" i="5"/>
  <c r="BN32" i="5"/>
  <c r="BN33" i="5"/>
  <c r="BN7" i="5"/>
  <c r="BN8" i="5"/>
  <c r="BN9" i="5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34" i="5"/>
  <c r="BN35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CX26" i="5"/>
  <c r="CX27" i="5"/>
  <c r="CX28" i="5"/>
  <c r="CX29" i="5"/>
  <c r="CX30" i="5"/>
  <c r="CX31" i="5"/>
  <c r="CO14" i="5"/>
  <c r="CO15" i="5"/>
  <c r="CO16" i="5"/>
  <c r="CO17" i="5"/>
  <c r="CO18" i="5"/>
  <c r="CO19" i="5"/>
  <c r="CO20" i="5"/>
  <c r="CO21" i="5"/>
  <c r="CO22" i="5"/>
  <c r="CO23" i="5"/>
  <c r="CO24" i="5"/>
  <c r="CO25" i="5"/>
  <c r="CO26" i="5"/>
  <c r="CO27" i="5"/>
  <c r="CY64" i="5"/>
  <c r="CY63" i="5"/>
  <c r="CY62" i="5"/>
  <c r="CY61" i="5"/>
  <c r="CY60" i="5"/>
  <c r="CY59" i="5"/>
  <c r="CY58" i="5"/>
  <c r="CY57" i="5"/>
  <c r="CY56" i="5"/>
  <c r="CY55" i="5"/>
  <c r="CY54" i="5"/>
  <c r="CY53" i="5"/>
  <c r="CY52" i="5"/>
  <c r="CY51" i="5"/>
  <c r="CY50" i="5"/>
  <c r="CY49" i="5"/>
  <c r="CY48" i="5"/>
  <c r="CY47" i="5"/>
  <c r="CY46" i="5"/>
  <c r="CY45" i="5"/>
  <c r="CY44" i="5"/>
  <c r="CY43" i="5"/>
  <c r="CY42" i="5"/>
  <c r="CY41" i="5"/>
  <c r="CY40" i="5"/>
  <c r="CY39" i="5"/>
  <c r="CY38" i="5"/>
  <c r="CY37" i="5"/>
  <c r="CY36" i="5"/>
  <c r="CY35" i="5"/>
  <c r="CY34" i="5"/>
  <c r="CY33" i="5"/>
  <c r="CY32" i="5"/>
  <c r="CY31" i="5"/>
  <c r="CY30" i="5"/>
  <c r="CY29" i="5"/>
  <c r="CY28" i="5"/>
  <c r="CY27" i="5"/>
  <c r="CY26" i="5"/>
  <c r="CY25" i="5"/>
  <c r="CY24" i="5"/>
  <c r="CY23" i="5"/>
  <c r="CY22" i="5"/>
  <c r="CY21" i="5"/>
  <c r="CY20" i="5"/>
  <c r="CY19" i="5"/>
  <c r="CY18" i="5"/>
  <c r="CY17" i="5"/>
  <c r="CY16" i="5"/>
  <c r="CY15" i="5"/>
  <c r="CY14" i="5"/>
  <c r="CY13" i="5"/>
  <c r="CY12" i="5"/>
  <c r="CY11" i="5"/>
  <c r="CY10" i="5"/>
  <c r="CY9" i="5"/>
  <c r="CY8" i="5"/>
  <c r="CY7" i="5"/>
  <c r="CY6" i="5"/>
  <c r="CY5" i="5"/>
  <c r="CP64" i="5"/>
  <c r="CP63" i="5"/>
  <c r="CP62" i="5"/>
  <c r="CP61" i="5"/>
  <c r="CP60" i="5"/>
  <c r="CP59" i="5"/>
  <c r="CP58" i="5"/>
  <c r="CP57" i="5"/>
  <c r="CP56" i="5"/>
  <c r="CP55" i="5"/>
  <c r="CP54" i="5"/>
  <c r="CP53" i="5"/>
  <c r="CP52" i="5"/>
  <c r="CP51" i="5"/>
  <c r="CP50" i="5"/>
  <c r="CP49" i="5"/>
  <c r="CP48" i="5"/>
  <c r="CP47" i="5"/>
  <c r="CP46" i="5"/>
  <c r="CP45" i="5"/>
  <c r="CP44" i="5"/>
  <c r="CP43" i="5"/>
  <c r="CP42" i="5"/>
  <c r="CP41" i="5"/>
  <c r="CP40" i="5"/>
  <c r="CP39" i="5"/>
  <c r="CP38" i="5"/>
  <c r="CP37" i="5"/>
  <c r="CP36" i="5"/>
  <c r="CP35" i="5"/>
  <c r="CP34" i="5"/>
  <c r="CP33" i="5"/>
  <c r="CP32" i="5"/>
  <c r="CP31" i="5"/>
  <c r="CP30" i="5"/>
  <c r="CP29" i="5"/>
  <c r="CP28" i="5"/>
  <c r="CP27" i="5"/>
  <c r="CP26" i="5"/>
  <c r="CP25" i="5"/>
  <c r="CP24" i="5"/>
  <c r="CP23" i="5"/>
  <c r="CP22" i="5"/>
  <c r="CP21" i="5"/>
  <c r="CP20" i="5"/>
  <c r="CP19" i="5"/>
  <c r="CP18" i="5"/>
  <c r="CP17" i="5"/>
  <c r="CP16" i="5"/>
  <c r="CP15" i="5"/>
  <c r="CP14" i="5"/>
  <c r="CP13" i="5"/>
  <c r="CP12" i="5"/>
  <c r="CP11" i="5"/>
  <c r="CP10" i="5"/>
  <c r="CP9" i="5"/>
  <c r="CP8" i="5"/>
  <c r="CP7" i="5"/>
  <c r="CP6" i="5"/>
  <c r="CP5" i="5"/>
  <c r="CG64" i="5"/>
  <c r="CG63" i="5"/>
  <c r="CG62" i="5"/>
  <c r="CG61" i="5"/>
  <c r="CG60" i="5"/>
  <c r="CG59" i="5"/>
  <c r="CG58" i="5"/>
  <c r="CG57" i="5"/>
  <c r="CG56" i="5"/>
  <c r="CG55" i="5"/>
  <c r="CG54" i="5"/>
  <c r="CG53" i="5"/>
  <c r="CG52" i="5"/>
  <c r="CG51" i="5"/>
  <c r="CG50" i="5"/>
  <c r="CG49" i="5"/>
  <c r="CG48" i="5"/>
  <c r="CG47" i="5"/>
  <c r="CG46" i="5"/>
  <c r="CG45" i="5"/>
  <c r="CG44" i="5"/>
  <c r="CG43" i="5"/>
  <c r="CG42" i="5"/>
  <c r="CG41" i="5"/>
  <c r="CG40" i="5"/>
  <c r="CG39" i="5"/>
  <c r="CG38" i="5"/>
  <c r="CG37" i="5"/>
  <c r="CG36" i="5"/>
  <c r="CG35" i="5"/>
  <c r="CG34" i="5"/>
  <c r="CG33" i="5"/>
  <c r="CG32" i="5"/>
  <c r="CG31" i="5"/>
  <c r="CG30" i="5"/>
  <c r="CG29" i="5"/>
  <c r="CG28" i="5"/>
  <c r="CG27" i="5"/>
  <c r="CG26" i="5"/>
  <c r="CG25" i="5"/>
  <c r="CG24" i="5"/>
  <c r="CG23" i="5"/>
  <c r="CG22" i="5"/>
  <c r="CG21" i="5"/>
  <c r="CG20" i="5"/>
  <c r="CG19" i="5"/>
  <c r="CG18" i="5"/>
  <c r="CG17" i="5"/>
  <c r="CG16" i="5"/>
  <c r="CG15" i="5"/>
  <c r="CG14" i="5"/>
  <c r="CG13" i="5"/>
  <c r="CG12" i="5"/>
  <c r="CG11" i="5"/>
  <c r="CG10" i="5"/>
  <c r="CG9" i="5"/>
  <c r="CG8" i="5"/>
  <c r="CG7" i="5"/>
  <c r="CG6" i="5"/>
  <c r="CG5" i="5"/>
  <c r="BX64" i="5"/>
  <c r="BX63" i="5"/>
  <c r="BX62" i="5"/>
  <c r="BX61" i="5"/>
  <c r="BX60" i="5"/>
  <c r="BX59" i="5"/>
  <c r="BX58" i="5"/>
  <c r="BX57" i="5"/>
  <c r="BX56" i="5"/>
  <c r="BX55" i="5"/>
  <c r="BX54" i="5"/>
  <c r="BX53" i="5"/>
  <c r="BX52" i="5"/>
  <c r="BX51" i="5"/>
  <c r="BX50" i="5"/>
  <c r="BX49" i="5"/>
  <c r="BX48" i="5"/>
  <c r="BX47" i="5"/>
  <c r="BX46" i="5"/>
  <c r="BX45" i="5"/>
  <c r="BX44" i="5"/>
  <c r="BX43" i="5"/>
  <c r="BX42" i="5"/>
  <c r="BX41" i="5"/>
  <c r="BX40" i="5"/>
  <c r="BX39" i="5"/>
  <c r="BX38" i="5"/>
  <c r="BX37" i="5"/>
  <c r="BX36" i="5"/>
  <c r="BX35" i="5"/>
  <c r="BX34" i="5"/>
  <c r="BX33" i="5"/>
  <c r="BX32" i="5"/>
  <c r="BX31" i="5"/>
  <c r="BX30" i="5"/>
  <c r="BX29" i="5"/>
  <c r="BX28" i="5"/>
  <c r="BX27" i="5"/>
  <c r="BX26" i="5"/>
  <c r="BX25" i="5"/>
  <c r="BX24" i="5"/>
  <c r="BX23" i="5"/>
  <c r="BX22" i="5"/>
  <c r="BX21" i="5"/>
  <c r="BX20" i="5"/>
  <c r="BX19" i="5"/>
  <c r="BX18" i="5"/>
  <c r="BX17" i="5"/>
  <c r="BX16" i="5"/>
  <c r="BX15" i="5"/>
  <c r="BX14" i="5"/>
  <c r="BX13" i="5"/>
  <c r="BX12" i="5"/>
  <c r="BX11" i="5"/>
  <c r="BX10" i="5"/>
  <c r="BX9" i="5"/>
  <c r="BX8" i="5"/>
  <c r="BX7" i="5"/>
  <c r="BX6" i="5"/>
  <c r="BX5" i="5"/>
  <c r="D19" i="5" a="1"/>
  <c r="D19" i="5" s="1"/>
  <c r="D18" i="5" a="1"/>
  <c r="D18" i="5" s="1"/>
  <c r="B29" i="5" s="1"/>
  <c r="D17" i="5" a="1"/>
  <c r="D17" i="5" s="1"/>
  <c r="A5" i="33"/>
  <c r="A4" i="33"/>
  <c r="B2" i="33"/>
  <c r="B5" i="33" s="1"/>
  <c r="B1" i="33"/>
  <c r="B4" i="33" s="1"/>
  <c r="J8" i="32" l="1"/>
  <c r="K8" i="32"/>
  <c r="J9" i="32"/>
  <c r="K9" i="32"/>
  <c r="L10" i="32"/>
  <c r="K10" i="32"/>
  <c r="BQ59" i="5" a="1"/>
  <c r="BQ59" i="5" s="1"/>
  <c r="BQ54" i="5" a="1"/>
  <c r="BQ54" i="5" s="1"/>
  <c r="BP49" i="5" a="1"/>
  <c r="BP49" i="5" s="1"/>
  <c r="BQ41" i="5" a="1"/>
  <c r="BQ41" i="5" s="1"/>
  <c r="BO30" i="5" a="1"/>
  <c r="BO30" i="5" s="1"/>
  <c r="BP57" i="5" a="1"/>
  <c r="BP57" i="5" s="1"/>
  <c r="BS57" i="5" s="1" a="1"/>
  <c r="BS57" i="5" s="1"/>
  <c r="BQ30" i="5" a="1"/>
  <c r="BQ30" i="5" s="1"/>
  <c r="BP62" i="5" a="1"/>
  <c r="BP62" i="5" s="1"/>
  <c r="BO57" i="5" a="1"/>
  <c r="BO57" i="5" s="1"/>
  <c r="BP44" i="5" a="1"/>
  <c r="BP44" i="5" s="1"/>
  <c r="BO39" i="5" a="1"/>
  <c r="BO39" i="5" s="1"/>
  <c r="BQ36" i="5" a="1"/>
  <c r="BQ36" i="5" s="1"/>
  <c r="BO27" i="5" a="1"/>
  <c r="BO27" i="5" s="1"/>
  <c r="BP24" i="5" a="1"/>
  <c r="BP24" i="5" s="1"/>
  <c r="BQ16" i="5" a="1"/>
  <c r="BQ16" i="5" s="1"/>
  <c r="BO14" i="5" a="1"/>
  <c r="BO14" i="5" s="1"/>
  <c r="BP11" i="5" a="1"/>
  <c r="BP11" i="5" s="1"/>
  <c r="BQ64" i="5" a="1"/>
  <c r="BQ64" i="5" s="1"/>
  <c r="BO62" i="5" a="1"/>
  <c r="BO62" i="5" s="1"/>
  <c r="BP59" i="5" a="1"/>
  <c r="BP59" i="5" s="1"/>
  <c r="BP54" i="5" a="1"/>
  <c r="BP54" i="5" s="1"/>
  <c r="BQ46" i="5" a="1"/>
  <c r="BQ46" i="5" s="1"/>
  <c r="BO44" i="5" a="1"/>
  <c r="BO44" i="5" s="1"/>
  <c r="BP41" i="5" a="1"/>
  <c r="BP41" i="5" s="1"/>
  <c r="BP36" i="5" a="1"/>
  <c r="BP36" i="5" s="1"/>
  <c r="BQ33" i="5" a="1"/>
  <c r="BQ33" i="5" s="1"/>
  <c r="BO24" i="5" a="1"/>
  <c r="BO24" i="5" s="1"/>
  <c r="BQ21" i="5" a="1"/>
  <c r="BQ21" i="5" s="1"/>
  <c r="BO19" i="5" a="1"/>
  <c r="BO19" i="5" s="1"/>
  <c r="BP16" i="5" a="1"/>
  <c r="BP16" i="5" s="1"/>
  <c r="BO11" i="5" a="1"/>
  <c r="BO11" i="5" s="1"/>
  <c r="BQ8" i="5" a="1"/>
  <c r="BQ8" i="5" s="1"/>
  <c r="BQ49" i="5" a="1"/>
  <c r="BQ49" i="5" s="1"/>
  <c r="BQ56" i="5" a="1"/>
  <c r="BQ56" i="5" s="1"/>
  <c r="BQ51" i="5" a="1"/>
  <c r="BQ51" i="5" s="1"/>
  <c r="BP46" i="5" a="1"/>
  <c r="BP46" i="5" s="1"/>
  <c r="BO41" i="5" a="1"/>
  <c r="BO41" i="5" s="1"/>
  <c r="BO36" i="5" a="1"/>
  <c r="BO36" i="5" s="1"/>
  <c r="BQ29" i="5" a="1"/>
  <c r="BQ29" i="5" s="1"/>
  <c r="BQ13" i="5" a="1"/>
  <c r="BQ13" i="5" s="1"/>
  <c r="BP33" i="5" a="1"/>
  <c r="BP33" i="5" s="1"/>
  <c r="BO64" i="5" a="1"/>
  <c r="BO64" i="5" s="1"/>
  <c r="BQ61" i="5" a="1"/>
  <c r="BQ61" i="5" s="1"/>
  <c r="BP51" i="5" a="1"/>
  <c r="BP51" i="5" s="1"/>
  <c r="BO46" i="5" a="1"/>
  <c r="BO46" i="5" s="1"/>
  <c r="BQ43" i="5" a="1"/>
  <c r="BQ43" i="5" s="1"/>
  <c r="BQ32" i="5" a="1"/>
  <c r="BQ32" i="5" s="1"/>
  <c r="BP29" i="5" a="1"/>
  <c r="BP29" i="5" s="1"/>
  <c r="BQ23" i="5" a="1"/>
  <c r="BQ23" i="5" s="1"/>
  <c r="BO21" i="5" a="1"/>
  <c r="BO21" i="5" s="1"/>
  <c r="BQ18" i="5" a="1"/>
  <c r="BQ18" i="5" s="1"/>
  <c r="BP13" i="5" a="1"/>
  <c r="BP13" i="5" s="1"/>
  <c r="BP8" i="5" a="1"/>
  <c r="BP8" i="5" s="1"/>
  <c r="BO34" i="5" a="1"/>
  <c r="BO34" i="5" s="1"/>
  <c r="BP19" i="5" a="1"/>
  <c r="BP19" i="5" s="1"/>
  <c r="BP64" i="5" a="1"/>
  <c r="BP64" i="5" s="1"/>
  <c r="BO59" i="5" a="1"/>
  <c r="BO59" i="5" s="1"/>
  <c r="BO54" i="5" a="1"/>
  <c r="BO54" i="5" s="1"/>
  <c r="BO49" i="5" a="1"/>
  <c r="BO49" i="5" s="1"/>
  <c r="BQ38" i="5" a="1"/>
  <c r="BQ38" i="5" s="1"/>
  <c r="BO33" i="5" a="1"/>
  <c r="BO33" i="5" s="1"/>
  <c r="BQ26" i="5" a="1"/>
  <c r="BQ26" i="5" s="1"/>
  <c r="BP21" i="5" a="1"/>
  <c r="BP21" i="5" s="1"/>
  <c r="BO16" i="5" a="1"/>
  <c r="BO16" i="5" s="1"/>
  <c r="BP61" i="5" a="1"/>
  <c r="BP61" i="5" s="1"/>
  <c r="BP56" i="5" a="1"/>
  <c r="BP56" i="5" s="1"/>
  <c r="BS56" i="5" s="1" a="1"/>
  <c r="BS56" i="5" s="1"/>
  <c r="BQ53" i="5" a="1"/>
  <c r="BQ53" i="5" s="1"/>
  <c r="BO51" i="5" a="1"/>
  <c r="BO51" i="5" s="1"/>
  <c r="BQ48" i="5" a="1"/>
  <c r="BQ48" i="5" s="1"/>
  <c r="BP43" i="5" a="1"/>
  <c r="BP43" i="5" s="1"/>
  <c r="BP38" i="5" a="1"/>
  <c r="BP38" i="5" s="1"/>
  <c r="BQ35" i="5" a="1"/>
  <c r="BQ35" i="5" s="1"/>
  <c r="BP32" i="5" a="1"/>
  <c r="BP32" i="5" s="1"/>
  <c r="BO29" i="5" a="1"/>
  <c r="BO29" i="5" s="1"/>
  <c r="BP26" i="5" a="1"/>
  <c r="BP26" i="5" s="1"/>
  <c r="BP23" i="5" a="1"/>
  <c r="BP23" i="5" s="1"/>
  <c r="BP18" i="5" a="1"/>
  <c r="BP18" i="5" s="1"/>
  <c r="BQ10" i="5" a="1"/>
  <c r="BQ10" i="5" s="1"/>
  <c r="BO8" i="5" a="1"/>
  <c r="BO8" i="5" s="1"/>
  <c r="BP30" i="5" a="1"/>
  <c r="BP30" i="5" s="1"/>
  <c r="BP39" i="5" a="1"/>
  <c r="BP39" i="5" s="1"/>
  <c r="BP27" i="5" a="1"/>
  <c r="BP27" i="5" s="1"/>
  <c r="BP14" i="5" a="1"/>
  <c r="BP14" i="5" s="1"/>
  <c r="BP48" i="5" a="1"/>
  <c r="BP48" i="5" s="1"/>
  <c r="BQ15" i="5" a="1"/>
  <c r="BQ15" i="5" s="1"/>
  <c r="BQ63" i="5" a="1"/>
  <c r="BQ63" i="5" s="1"/>
  <c r="BO61" i="5" a="1"/>
  <c r="BO61" i="5" s="1"/>
  <c r="BP58" i="5" a="1"/>
  <c r="BP58" i="5" s="1"/>
  <c r="BO53" i="5" a="1"/>
  <c r="BO53" i="5" s="1"/>
  <c r="BQ50" i="5" a="1"/>
  <c r="BQ50" i="5" s="1"/>
  <c r="BO48" i="5" a="1"/>
  <c r="BO48" i="5" s="1"/>
  <c r="BQ45" i="5" a="1"/>
  <c r="BQ45" i="5" s="1"/>
  <c r="BO43" i="5" a="1"/>
  <c r="BO43" i="5" s="1"/>
  <c r="BP40" i="5" a="1"/>
  <c r="BP40" i="5" s="1"/>
  <c r="BO35" i="5" a="1"/>
  <c r="BO35" i="5" s="1"/>
  <c r="BQ28" i="5" a="1"/>
  <c r="BQ28" i="5" s="1"/>
  <c r="BP15" i="5" a="1"/>
  <c r="BP15" i="5" s="1"/>
  <c r="BO10" i="5" a="1"/>
  <c r="BO10" i="5" s="1"/>
  <c r="BQ7" i="5" a="1"/>
  <c r="BQ7" i="5" s="1"/>
  <c r="BO52" i="5" a="1"/>
  <c r="BO52" i="5" s="1"/>
  <c r="BQ24" i="5" a="1"/>
  <c r="BQ24" i="5" s="1"/>
  <c r="BO9" i="5" a="1"/>
  <c r="BO9" i="5" s="1"/>
  <c r="BP53" i="5" a="1"/>
  <c r="BP53" i="5" s="1"/>
  <c r="BO38" i="5" a="1"/>
  <c r="BO38" i="5" s="1"/>
  <c r="BO32" i="5" a="1"/>
  <c r="BO32" i="5" s="1"/>
  <c r="BO23" i="5" a="1"/>
  <c r="BO23" i="5" s="1"/>
  <c r="BQ20" i="5" a="1"/>
  <c r="BQ20" i="5" s="1"/>
  <c r="BO18" i="5" a="1"/>
  <c r="BO18" i="5" s="1"/>
  <c r="BO13" i="5" a="1"/>
  <c r="BO13" i="5" s="1"/>
  <c r="BP63" i="5" a="1"/>
  <c r="BP63" i="5" s="1"/>
  <c r="BO58" i="5" a="1"/>
  <c r="BO58" i="5" s="1"/>
  <c r="BQ55" i="5" a="1"/>
  <c r="BQ55" i="5" s="1"/>
  <c r="BP45" i="5" a="1"/>
  <c r="BP45" i="5" s="1"/>
  <c r="BO40" i="5" a="1"/>
  <c r="BO40" i="5" s="1"/>
  <c r="BQ37" i="5" a="1"/>
  <c r="BQ37" i="5" s="1"/>
  <c r="BQ31" i="5" a="1"/>
  <c r="BQ31" i="5" s="1"/>
  <c r="BP28" i="5" a="1"/>
  <c r="BP28" i="5" s="1"/>
  <c r="BQ25" i="5" a="1"/>
  <c r="BQ25" i="5" s="1"/>
  <c r="BP20" i="5" a="1"/>
  <c r="BP20" i="5" s="1"/>
  <c r="BQ17" i="5" a="1"/>
  <c r="BQ17" i="5" s="1"/>
  <c r="BO15" i="5" a="1"/>
  <c r="BO15" i="5" s="1"/>
  <c r="BQ12" i="5" a="1"/>
  <c r="BQ12" i="5" s="1"/>
  <c r="BP7" i="5" a="1"/>
  <c r="BP7" i="5" s="1"/>
  <c r="BQ11" i="5" a="1"/>
  <c r="BQ11" i="5" s="1"/>
  <c r="BO56" i="5" a="1"/>
  <c r="BO56" i="5" s="1"/>
  <c r="BQ40" i="5" a="1"/>
  <c r="BQ40" i="5" s="1"/>
  <c r="BO26" i="5" a="1"/>
  <c r="BO26" i="5" s="1"/>
  <c r="BP10" i="5" a="1"/>
  <c r="BP10" i="5" s="1"/>
  <c r="BO63" i="5" a="1"/>
  <c r="BO63" i="5" s="1"/>
  <c r="BQ60" i="5" a="1"/>
  <c r="BQ60" i="5" s="1"/>
  <c r="BP55" i="5" a="1"/>
  <c r="BP55" i="5" s="1"/>
  <c r="BP50" i="5" a="1"/>
  <c r="BP50" i="5" s="1"/>
  <c r="BQ47" i="5" a="1"/>
  <c r="BQ47" i="5" s="1"/>
  <c r="BO45" i="5" a="1"/>
  <c r="BO45" i="5" s="1"/>
  <c r="BQ42" i="5" a="1"/>
  <c r="BQ42" i="5" s="1"/>
  <c r="BP37" i="5" a="1"/>
  <c r="BP37" i="5" s="1"/>
  <c r="BP31" i="5" a="1"/>
  <c r="BP31" i="5" s="1"/>
  <c r="BO28" i="5" a="1"/>
  <c r="BO28" i="5" s="1"/>
  <c r="BP25" i="5" a="1"/>
  <c r="BP25" i="5" s="1"/>
  <c r="BQ22" i="5" a="1"/>
  <c r="BQ22" i="5" s="1"/>
  <c r="BO20" i="5" a="1"/>
  <c r="BO20" i="5" s="1"/>
  <c r="BP17" i="5" a="1"/>
  <c r="BP17" i="5" s="1"/>
  <c r="BP12" i="5" a="1"/>
  <c r="BP12" i="5" s="1"/>
  <c r="BQ58" i="5" a="1"/>
  <c r="BQ58" i="5" s="1"/>
  <c r="BP35" i="5" a="1"/>
  <c r="BP35" i="5" s="1"/>
  <c r="BP60" i="5" a="1"/>
  <c r="BP60" i="5" s="1"/>
  <c r="BQ52" i="5" a="1"/>
  <c r="BQ52" i="5" s="1"/>
  <c r="BO50" i="5" a="1"/>
  <c r="BO50" i="5" s="1"/>
  <c r="BP47" i="5" a="1"/>
  <c r="BP47" i="5" s="1"/>
  <c r="BP42" i="5" a="1"/>
  <c r="BP42" i="5" s="1"/>
  <c r="BQ34" i="5" a="1"/>
  <c r="BQ34" i="5" s="1"/>
  <c r="BO31" i="5" a="1"/>
  <c r="BO31" i="5" s="1"/>
  <c r="BO25" i="5" a="1"/>
  <c r="BO25" i="5" s="1"/>
  <c r="BP22" i="5" a="1"/>
  <c r="BP22" i="5" s="1"/>
  <c r="BO17" i="5" a="1"/>
  <c r="BO17" i="5" s="1"/>
  <c r="BQ14" i="5" a="1"/>
  <c r="BQ14" i="5" s="1"/>
  <c r="BO12" i="5" a="1"/>
  <c r="BO12" i="5" s="1"/>
  <c r="BQ9" i="5" a="1"/>
  <c r="BQ9" i="5" s="1"/>
  <c r="BO7" i="5" a="1"/>
  <c r="BO7" i="5" s="1"/>
  <c r="BQ62" i="5" a="1"/>
  <c r="BQ62" i="5" s="1"/>
  <c r="BO60" i="5" a="1"/>
  <c r="BO60" i="5" s="1"/>
  <c r="BQ57" i="5" a="1"/>
  <c r="BQ57" i="5" s="1"/>
  <c r="BO55" i="5" a="1"/>
  <c r="BO55" i="5" s="1"/>
  <c r="BP52" i="5" a="1"/>
  <c r="BP52" i="5" s="1"/>
  <c r="BO47" i="5" a="1"/>
  <c r="BO47" i="5" s="1"/>
  <c r="BQ44" i="5" a="1"/>
  <c r="BQ44" i="5" s="1"/>
  <c r="BO42" i="5" a="1"/>
  <c r="BO42" i="5" s="1"/>
  <c r="BQ39" i="5" a="1"/>
  <c r="BQ39" i="5" s="1"/>
  <c r="BO37" i="5" a="1"/>
  <c r="BO37" i="5" s="1"/>
  <c r="BP34" i="5" a="1"/>
  <c r="BP34" i="5" s="1"/>
  <c r="BQ27" i="5" a="1"/>
  <c r="BQ27" i="5" s="1"/>
  <c r="BO22" i="5" a="1"/>
  <c r="BO22" i="5" s="1"/>
  <c r="BQ19" i="5" a="1"/>
  <c r="BQ19" i="5" s="1"/>
  <c r="BP9" i="5" a="1"/>
  <c r="BP9" i="5" s="1"/>
  <c r="B28" i="5"/>
  <c r="B30" i="5"/>
  <c r="C1" i="33"/>
  <c r="C2" i="33"/>
  <c r="D2" i="33" l="1"/>
  <c r="C5" i="33"/>
  <c r="C4" i="33"/>
  <c r="D1" i="33"/>
  <c r="D4" i="33" l="1"/>
  <c r="E1" i="33"/>
  <c r="E2" i="33"/>
  <c r="D5" i="33"/>
  <c r="F2" i="33" l="1"/>
  <c r="E5" i="33"/>
  <c r="F1" i="33"/>
  <c r="E4" i="33"/>
  <c r="G1" i="33" l="1"/>
  <c r="F4" i="33"/>
  <c r="G2" i="33"/>
  <c r="F5" i="33"/>
  <c r="H2" i="33" l="1"/>
  <c r="G5" i="33"/>
  <c r="G4" i="33"/>
  <c r="H1" i="33"/>
  <c r="H4" i="33" l="1"/>
  <c r="I1" i="33"/>
  <c r="I2" i="33"/>
  <c r="H5" i="33"/>
  <c r="J2" i="33" l="1"/>
  <c r="I5" i="33"/>
  <c r="I4" i="33"/>
  <c r="J1" i="33"/>
  <c r="K1" i="33" l="1"/>
  <c r="J4" i="33"/>
  <c r="J5" i="33"/>
  <c r="K2" i="33"/>
  <c r="K5" i="33" l="1"/>
  <c r="L2" i="33"/>
  <c r="K4" i="33"/>
  <c r="L1" i="33"/>
  <c r="L4" i="33" l="1"/>
  <c r="M1" i="33"/>
  <c r="L5" i="33"/>
  <c r="M2" i="33"/>
  <c r="M4" i="33" l="1"/>
  <c r="N1" i="33"/>
  <c r="M5" i="33"/>
  <c r="N2" i="33"/>
  <c r="N5" i="33" l="1"/>
  <c r="O2" i="33"/>
  <c r="N4" i="33"/>
  <c r="O1" i="33"/>
  <c r="O4" i="33" l="1"/>
  <c r="P1" i="33"/>
  <c r="P2" i="33"/>
  <c r="O5" i="33"/>
  <c r="P4" i="33" l="1"/>
  <c r="Q1" i="33"/>
  <c r="Q2" i="33"/>
  <c r="P5" i="33"/>
  <c r="R1" i="33" l="1"/>
  <c r="Q4" i="33"/>
  <c r="R2" i="33"/>
  <c r="Q5" i="33"/>
  <c r="R5" i="33" l="1"/>
  <c r="S2" i="33"/>
  <c r="S1" i="33"/>
  <c r="R4" i="33"/>
  <c r="S4" i="33" l="1"/>
  <c r="T1" i="33"/>
  <c r="S5" i="33"/>
  <c r="T2" i="33"/>
  <c r="U2" i="33" l="1"/>
  <c r="T5" i="33"/>
  <c r="U1" i="33"/>
  <c r="T4" i="33"/>
  <c r="U4" i="33" l="1"/>
  <c r="V1" i="33"/>
  <c r="U5" i="33"/>
  <c r="V2" i="33"/>
  <c r="W2" i="33" l="1"/>
  <c r="V5" i="33"/>
  <c r="V4" i="33"/>
  <c r="W1" i="33"/>
  <c r="W4" i="33" l="1"/>
  <c r="X1" i="33"/>
  <c r="X2" i="33"/>
  <c r="W5" i="33"/>
  <c r="X5" i="33" l="1"/>
  <c r="Y2" i="33"/>
  <c r="Y1" i="33"/>
  <c r="X4" i="33"/>
  <c r="Y4" i="33" l="1"/>
  <c r="Z1" i="33"/>
  <c r="Z4" i="33" s="1"/>
  <c r="Y5" i="33"/>
  <c r="Z2" i="33"/>
  <c r="Z5" i="33" s="1"/>
  <c r="O5" i="22" l="1" a="1"/>
  <c r="O5" i="22" s="1"/>
  <c r="N61" i="22"/>
  <c r="N62" i="22"/>
  <c r="N63" i="22"/>
  <c r="N64" i="22"/>
  <c r="BK16" i="5" l="1" a="1"/>
  <c r="BK16" i="5" s="1"/>
  <c r="BI16" i="5" a="1"/>
  <c r="BI16" i="5" s="1"/>
  <c r="BJ16" i="5" a="1"/>
  <c r="BJ16" i="5" s="1"/>
  <c r="C13" i="32" l="1"/>
  <c r="C12" i="32"/>
  <c r="C11" i="32"/>
  <c r="C10" i="32"/>
  <c r="C8" i="32"/>
  <c r="C7" i="32"/>
  <c r="C5" i="32"/>
  <c r="C4" i="32"/>
  <c r="C3" i="32"/>
  <c r="C2" i="32"/>
  <c r="B52" i="31"/>
  <c r="J5" i="31" a="1"/>
  <c r="J5" i="31" s="1"/>
  <c r="BS7" i="5" s="1" a="1"/>
  <c r="BS7" i="5" s="1"/>
  <c r="G5" i="31" a="1"/>
  <c r="G5" i="31" s="1"/>
  <c r="H5" i="31" a="1"/>
  <c r="H5" i="31" s="1"/>
  <c r="I5" i="31" a="1"/>
  <c r="I5" i="31" s="1"/>
  <c r="J6" i="31" a="1"/>
  <c r="J6" i="31" s="1"/>
  <c r="BS8" i="5" s="1" a="1"/>
  <c r="BS8" i="5" s="1"/>
  <c r="G6" i="31" a="1"/>
  <c r="G6" i="31" s="1"/>
  <c r="H6" i="31" a="1"/>
  <c r="H6" i="31" s="1"/>
  <c r="I6" i="31" a="1"/>
  <c r="I6" i="31" s="1"/>
  <c r="G4" i="31" a="1"/>
  <c r="G4" i="31" s="1"/>
  <c r="H4" i="31" a="1"/>
  <c r="H4" i="31" s="1"/>
  <c r="I4" i="31" a="1"/>
  <c r="I4" i="31" s="1"/>
  <c r="J4" i="31" a="1"/>
  <c r="J4" i="31" s="1"/>
  <c r="B57" i="31"/>
  <c r="B58" i="31"/>
  <c r="B70" i="5" a="1"/>
  <c r="B70" i="5" s="1"/>
  <c r="B83" i="5" s="1"/>
  <c r="A70" i="5" s="1"/>
  <c r="B62" i="31"/>
  <c r="B60" i="31"/>
  <c r="B61" i="31"/>
  <c r="B59" i="31"/>
  <c r="B53" i="31"/>
  <c r="B56" i="31"/>
  <c r="B54" i="31"/>
  <c r="B55" i="31"/>
  <c r="B51" i="31"/>
  <c r="B50" i="31"/>
  <c r="B49" i="31"/>
  <c r="B48" i="31"/>
  <c r="B42" i="31"/>
  <c r="B41" i="31"/>
  <c r="B40" i="31"/>
  <c r="B47" i="31"/>
  <c r="B46" i="31"/>
  <c r="B43" i="31"/>
  <c r="B26" i="31"/>
  <c r="B45" i="31"/>
  <c r="B44" i="31"/>
  <c r="B39" i="31"/>
  <c r="B32" i="31"/>
  <c r="B38" i="31"/>
  <c r="B31" i="31"/>
  <c r="B36" i="31"/>
  <c r="B28" i="31"/>
  <c r="B30" i="31"/>
  <c r="B37" i="31"/>
  <c r="B29" i="31"/>
  <c r="B33" i="31"/>
  <c r="B24" i="31"/>
  <c r="B35" i="31"/>
  <c r="B27" i="31"/>
  <c r="B34" i="31"/>
  <c r="B25" i="31"/>
  <c r="B23" i="31"/>
  <c r="B11" i="31"/>
  <c r="B12" i="31"/>
  <c r="B14" i="31"/>
  <c r="B13" i="31"/>
  <c r="B22" i="31"/>
  <c r="B19" i="31"/>
  <c r="B21" i="31"/>
  <c r="B20" i="31"/>
  <c r="B18" i="31"/>
  <c r="B15" i="31"/>
  <c r="B17" i="31"/>
  <c r="B16" i="31"/>
  <c r="B10" i="31"/>
  <c r="B7" i="31"/>
  <c r="B9" i="31"/>
  <c r="B8" i="31"/>
  <c r="B3" i="31"/>
  <c r="B4" i="31"/>
  <c r="B6" i="31"/>
  <c r="B5" i="31"/>
  <c r="A81" i="5"/>
  <c r="A80" i="5"/>
  <c r="BF16" i="5" a="1"/>
  <c r="BF16" i="5" s="1"/>
  <c r="M99" i="5" a="1"/>
  <c r="H98" i="5" a="1"/>
  <c r="AK99" i="5" a="1"/>
  <c r="BC99" i="5" a="1"/>
  <c r="AA99" i="5" a="1"/>
  <c r="O99" i="5" a="1"/>
  <c r="AJ98" i="5" a="1"/>
  <c r="AD98" i="5" a="1"/>
  <c r="AS98" i="5" a="1"/>
  <c r="S99" i="5" a="1"/>
  <c r="L99" i="5" a="1"/>
  <c r="BE98" i="5" a="1"/>
  <c r="U99" i="5" a="1"/>
  <c r="B98" i="5" a="1"/>
  <c r="P99" i="5" a="1"/>
  <c r="AB99" i="5" a="1"/>
  <c r="J98" i="5" a="1"/>
  <c r="AZ98" i="5" a="1"/>
  <c r="BB99" i="5" a="1"/>
  <c r="BH99" i="5" a="1"/>
  <c r="AG98" i="5" a="1"/>
  <c r="BI99" i="5" a="1"/>
  <c r="AR98" i="5" a="1"/>
  <c r="AQ98" i="5" a="1"/>
  <c r="BF98" i="5" a="1"/>
  <c r="S98" i="5" a="1"/>
  <c r="J99" i="5" a="1"/>
  <c r="AR99" i="5" a="1"/>
  <c r="AF99" i="5" a="1"/>
  <c r="G99" i="5" a="1"/>
  <c r="AO99" i="5" a="1"/>
  <c r="AD99" i="5" a="1"/>
  <c r="U98" i="5" a="1"/>
  <c r="E98" i="5" a="1"/>
  <c r="AC99" i="5" a="1"/>
  <c r="Q98" i="5" a="1"/>
  <c r="AM98" i="5" a="1"/>
  <c r="AQ99" i="5" a="1"/>
  <c r="V98" i="5" a="1"/>
  <c r="AO98" i="5" a="1"/>
  <c r="AN98" i="5" a="1"/>
  <c r="C99" i="5" a="1"/>
  <c r="Z98" i="5" a="1"/>
  <c r="C98" i="5" a="1"/>
  <c r="AB98" i="5" a="1"/>
  <c r="X99" i="5" a="1"/>
  <c r="BD98" i="5" a="1"/>
  <c r="H99" i="5" a="1"/>
  <c r="Y98" i="5" a="1"/>
  <c r="L98" i="5" a="1"/>
  <c r="W99" i="5" a="1"/>
  <c r="E99" i="5" a="1"/>
  <c r="AE98" i="5" a="1"/>
  <c r="BI98" i="5" a="1"/>
  <c r="AH99" i="5" a="1"/>
  <c r="BB98" i="5" a="1"/>
  <c r="V99" i="5" a="1"/>
  <c r="AG99" i="5" a="1"/>
  <c r="BA99" i="5" a="1"/>
  <c r="AC98" i="5" a="1"/>
  <c r="AI99" i="5" a="1"/>
  <c r="AN99" i="5" a="1"/>
  <c r="Z99" i="5" a="1"/>
  <c r="F98" i="5" a="1"/>
  <c r="N98" i="5" a="1"/>
  <c r="Y63" i="5" a="1"/>
  <c r="B99" i="5" a="1"/>
  <c r="F99" i="5" a="1"/>
  <c r="AE99" i="5" a="1"/>
  <c r="D99" i="5" a="1"/>
  <c r="BA98" i="5" a="1"/>
  <c r="AF98" i="5" a="1"/>
  <c r="BC98" i="5" a="1"/>
  <c r="N99" i="5" a="1"/>
  <c r="AY98" i="5" a="1"/>
  <c r="G98" i="5" a="1"/>
  <c r="Y99" i="5" a="1"/>
  <c r="AJ99" i="5" a="1"/>
  <c r="P98" i="5" a="1"/>
  <c r="D98" i="5" a="1"/>
  <c r="AM99" i="5" a="1"/>
  <c r="T98" i="5" a="1"/>
  <c r="BG98" i="5" a="1"/>
  <c r="AA98" i="5" a="1"/>
  <c r="AY99" i="5" a="1"/>
  <c r="R98" i="5" a="1"/>
  <c r="BG99" i="5" a="1"/>
  <c r="X98" i="5" a="1"/>
  <c r="T99" i="5" a="1"/>
  <c r="BE99" i="5" a="1"/>
  <c r="O98" i="5" a="1"/>
  <c r="K98" i="5" a="1"/>
  <c r="W98" i="5" a="1"/>
  <c r="I98" i="5" a="1"/>
  <c r="AU99" i="5" a="1"/>
  <c r="AP98" i="5" a="1"/>
  <c r="K99" i="5" a="1"/>
  <c r="I99" i="5" a="1"/>
  <c r="AW99" i="5" a="1"/>
  <c r="AH98" i="5" a="1"/>
  <c r="R99" i="5" a="1"/>
  <c r="BD99" i="5" a="1"/>
  <c r="AI98" i="5" a="1"/>
  <c r="AT99" i="5" a="1"/>
  <c r="AX99" i="5" a="1"/>
  <c r="AT98" i="5" a="1"/>
  <c r="AZ99" i="5" a="1"/>
  <c r="AS99" i="5" a="1"/>
  <c r="BF99" i="5" a="1"/>
  <c r="AK98" i="5" a="1"/>
  <c r="Q99" i="5" a="1"/>
  <c r="BH98" i="5" a="1"/>
  <c r="AP99" i="5" a="1"/>
  <c r="AL99" i="5" a="1"/>
  <c r="AL98" i="5" a="1"/>
  <c r="AV99" i="5" a="1"/>
  <c r="I98" i="5" l="1"/>
  <c r="AG98" i="5"/>
  <c r="C99" i="5"/>
  <c r="AY99" i="5"/>
  <c r="D98" i="5"/>
  <c r="J98" i="5"/>
  <c r="P98" i="5"/>
  <c r="V98" i="5"/>
  <c r="AB98" i="5"/>
  <c r="AH98" i="5"/>
  <c r="AN98" i="5"/>
  <c r="AT98" i="5"/>
  <c r="AZ98" i="5"/>
  <c r="BF98" i="5"/>
  <c r="D99" i="5"/>
  <c r="J99" i="5"/>
  <c r="P99" i="5"/>
  <c r="V99" i="5"/>
  <c r="AB99" i="5"/>
  <c r="AH99" i="5"/>
  <c r="AN99" i="5"/>
  <c r="AT99" i="5"/>
  <c r="AZ99" i="5"/>
  <c r="BF99" i="5"/>
  <c r="U99" i="5"/>
  <c r="C98" i="5"/>
  <c r="U98" i="5"/>
  <c r="AY98" i="5"/>
  <c r="AG99" i="5"/>
  <c r="E98" i="5"/>
  <c r="K98" i="5"/>
  <c r="Q98" i="5"/>
  <c r="W98" i="5"/>
  <c r="AC98" i="5"/>
  <c r="AI98" i="5"/>
  <c r="AO98" i="5"/>
  <c r="BA98" i="5"/>
  <c r="BG98" i="5"/>
  <c r="E99" i="5"/>
  <c r="K99" i="5"/>
  <c r="Q99" i="5"/>
  <c r="W99" i="5"/>
  <c r="AC99" i="5"/>
  <c r="AI99" i="5"/>
  <c r="AO99" i="5"/>
  <c r="AU99" i="5"/>
  <c r="BA99" i="5"/>
  <c r="BG99" i="5"/>
  <c r="AA99" i="5"/>
  <c r="AS98" i="5"/>
  <c r="F98" i="5"/>
  <c r="L98" i="5"/>
  <c r="R98" i="5"/>
  <c r="X98" i="5"/>
  <c r="AD98" i="5"/>
  <c r="AJ98" i="5"/>
  <c r="AP98" i="5"/>
  <c r="BB98" i="5"/>
  <c r="BH98" i="5"/>
  <c r="F99" i="5"/>
  <c r="L99" i="5"/>
  <c r="R99" i="5"/>
  <c r="X99" i="5"/>
  <c r="AD99" i="5"/>
  <c r="AJ99" i="5"/>
  <c r="AP99" i="5"/>
  <c r="AV99" i="5"/>
  <c r="BB99" i="5"/>
  <c r="BH99" i="5"/>
  <c r="I99" i="5"/>
  <c r="O98" i="5"/>
  <c r="AM98" i="5"/>
  <c r="O99" i="5"/>
  <c r="G98" i="5"/>
  <c r="S98" i="5"/>
  <c r="Y98" i="5"/>
  <c r="AE98" i="5"/>
  <c r="AK98" i="5"/>
  <c r="AQ98" i="5"/>
  <c r="BC98" i="5"/>
  <c r="BI98" i="5"/>
  <c r="G99" i="5"/>
  <c r="M99" i="5"/>
  <c r="S99" i="5"/>
  <c r="Y99" i="5"/>
  <c r="AE99" i="5"/>
  <c r="AK99" i="5"/>
  <c r="AQ99" i="5"/>
  <c r="AW99" i="5"/>
  <c r="BC99" i="5"/>
  <c r="BI99" i="5"/>
  <c r="AS99" i="5"/>
  <c r="AA98" i="5"/>
  <c r="BE98" i="5"/>
  <c r="BE99" i="5"/>
  <c r="H98" i="5"/>
  <c r="N98" i="5"/>
  <c r="T98" i="5"/>
  <c r="Z98" i="5"/>
  <c r="AF98" i="5"/>
  <c r="AL98" i="5"/>
  <c r="AR98" i="5"/>
  <c r="BD98" i="5"/>
  <c r="H99" i="5"/>
  <c r="N99" i="5"/>
  <c r="T99" i="5"/>
  <c r="Z99" i="5"/>
  <c r="AF99" i="5"/>
  <c r="AL99" i="5"/>
  <c r="AR99" i="5"/>
  <c r="AX99" i="5"/>
  <c r="BD99" i="5"/>
  <c r="AM99" i="5"/>
  <c r="B99" i="5"/>
  <c r="B98" i="5"/>
  <c r="B88" i="5"/>
  <c r="A75" i="5" s="1"/>
  <c r="Y63" i="5"/>
  <c r="BH16" i="5" a="1"/>
  <c r="BH16" i="5" s="1"/>
  <c r="N60" i="22"/>
  <c r="N59" i="22"/>
  <c r="BA16" i="5" a="1"/>
  <c r="BA16" i="5" s="1"/>
  <c r="CX33" i="5"/>
  <c r="CX34" i="5"/>
  <c r="CX35" i="5"/>
  <c r="CX36" i="5"/>
  <c r="CX37" i="5"/>
  <c r="CX38" i="5"/>
  <c r="CX39" i="5"/>
  <c r="CX40" i="5"/>
  <c r="CX41" i="5"/>
  <c r="CX42" i="5"/>
  <c r="CX43" i="5"/>
  <c r="CX44" i="5"/>
  <c r="CX45" i="5"/>
  <c r="CX46" i="5"/>
  <c r="CX47" i="5"/>
  <c r="CX48" i="5"/>
  <c r="CX49" i="5"/>
  <c r="CX50" i="5"/>
  <c r="CX51" i="5"/>
  <c r="CX52" i="5"/>
  <c r="CX53" i="5"/>
  <c r="CX54" i="5"/>
  <c r="CX55" i="5"/>
  <c r="CX56" i="5"/>
  <c r="BN6" i="5"/>
  <c r="BN5" i="5"/>
  <c r="N58" i="22"/>
  <c r="N57" i="22"/>
  <c r="N56" i="22"/>
  <c r="N55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0" i="22"/>
  <c r="N39" i="22"/>
  <c r="N38" i="22"/>
  <c r="N37" i="22"/>
  <c r="N36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N6" i="22"/>
  <c r="N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L6" i="22"/>
  <c r="L7" i="22"/>
  <c r="L9" i="22"/>
  <c r="L10" i="22"/>
  <c r="L11" i="22"/>
  <c r="L12" i="22"/>
  <c r="L13" i="22"/>
  <c r="L15" i="22"/>
  <c r="L17" i="22"/>
  <c r="L19" i="22"/>
  <c r="L21" i="22"/>
  <c r="L23" i="22"/>
  <c r="L24" i="22"/>
  <c r="L25" i="22"/>
  <c r="L27" i="22"/>
  <c r="L28" i="22"/>
  <c r="L29" i="22"/>
  <c r="L31" i="22"/>
  <c r="L32" i="22"/>
  <c r="L33" i="22"/>
  <c r="L35" i="22"/>
  <c r="L37" i="22"/>
  <c r="L39" i="22"/>
  <c r="L41" i="22"/>
  <c r="L43" i="22"/>
  <c r="L45" i="22"/>
  <c r="L47" i="22"/>
  <c r="L48" i="22"/>
  <c r="L49" i="22"/>
  <c r="L51" i="22"/>
  <c r="L53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70" i="22"/>
  <c r="L71" i="22"/>
  <c r="L72" i="22"/>
  <c r="L73" i="22"/>
  <c r="L74" i="22"/>
  <c r="L77" i="22"/>
  <c r="L79" i="22"/>
  <c r="L81" i="22"/>
  <c r="L82" i="22"/>
  <c r="L83" i="22"/>
  <c r="L84" i="22"/>
  <c r="L85" i="22"/>
  <c r="L86" i="22"/>
  <c r="L87" i="22"/>
  <c r="L89" i="22"/>
  <c r="L93" i="22"/>
  <c r="L5" i="22"/>
  <c r="K5" i="22"/>
  <c r="U102" i="5" a="1"/>
  <c r="Z102" i="5" a="1"/>
  <c r="AS102" i="5" a="1"/>
  <c r="AC102" i="5" a="1"/>
  <c r="M102" i="5" a="1"/>
  <c r="BF102" i="5" a="1"/>
  <c r="F102" i="5" a="1"/>
  <c r="J102" i="5" a="1"/>
  <c r="BE102" i="5" a="1"/>
  <c r="O102" i="5" a="1"/>
  <c r="W102" i="5" a="1"/>
  <c r="Q102" i="5" a="1"/>
  <c r="AO102" i="5" a="1"/>
  <c r="BG102" i="5" a="1"/>
  <c r="AW102" i="5" a="1"/>
  <c r="Y102" i="5" a="1"/>
  <c r="N102" i="5" a="1"/>
  <c r="AY102" i="5" a="1"/>
  <c r="AT102" i="5" a="1"/>
  <c r="BH102" i="5" a="1"/>
  <c r="AX102" i="5" a="1"/>
  <c r="AA102" i="5" a="1"/>
  <c r="AN102" i="5" a="1"/>
  <c r="AD102" i="5" a="1"/>
  <c r="AP102" i="5" a="1"/>
  <c r="L102" i="5" a="1"/>
  <c r="AE102" i="5" a="1"/>
  <c r="C102" i="5" a="1"/>
  <c r="D102" i="5" a="1"/>
  <c r="X102" i="5" a="1"/>
  <c r="AB102" i="5" a="1"/>
  <c r="V102" i="5" a="1"/>
  <c r="AU102" i="5" a="1"/>
  <c r="AL102" i="5" a="1"/>
  <c r="BA102" i="5" a="1"/>
  <c r="K102" i="5" a="1"/>
  <c r="BC102" i="5" a="1"/>
  <c r="BB102" i="5" a="1"/>
  <c r="AM102" i="5" a="1"/>
  <c r="H102" i="5" a="1"/>
  <c r="BD102" i="5" a="1"/>
  <c r="BI102" i="5" a="1"/>
  <c r="E102" i="5" a="1"/>
  <c r="AF102" i="5" a="1"/>
  <c r="P102" i="5" a="1"/>
  <c r="G102" i="5" a="1"/>
  <c r="T102" i="5" a="1"/>
  <c r="I102" i="5" a="1"/>
  <c r="AQ102" i="5" a="1"/>
  <c r="AG102" i="5" a="1"/>
  <c r="AV102" i="5" a="1"/>
  <c r="AI102" i="5" a="1"/>
  <c r="AH102" i="5" a="1"/>
  <c r="AR102" i="5" a="1"/>
  <c r="AZ102" i="5" a="1"/>
  <c r="B102" i="5" a="1"/>
  <c r="AK102" i="5" a="1"/>
  <c r="AJ102" i="5" a="1"/>
  <c r="S102" i="5" a="1"/>
  <c r="R102" i="5" a="1"/>
  <c r="BO6" i="5" l="1" a="1"/>
  <c r="BO6" i="5" s="1"/>
  <c r="BP6" i="5" a="1"/>
  <c r="BP6" i="5" s="1"/>
  <c r="BQ6" i="5" a="1"/>
  <c r="BQ6" i="5" s="1"/>
  <c r="BQ5" i="5" a="1"/>
  <c r="BQ5" i="5" s="1"/>
  <c r="BP5" i="5" a="1"/>
  <c r="BP5" i="5" s="1"/>
  <c r="BO5" i="5" a="1"/>
  <c r="BO5" i="5" s="1"/>
  <c r="B105" i="5"/>
  <c r="A93" i="5" s="1"/>
  <c r="B104" i="5"/>
  <c r="Y102" i="5"/>
  <c r="X102" i="5"/>
  <c r="BG102" i="5"/>
  <c r="J102" i="5"/>
  <c r="AS102" i="5"/>
  <c r="M102" i="5"/>
  <c r="F102" i="5"/>
  <c r="AU102" i="5"/>
  <c r="O102" i="5"/>
  <c r="AG102" i="5"/>
  <c r="BH102" i="5"/>
  <c r="AF102" i="5"/>
  <c r="AC102" i="5"/>
  <c r="AI102" i="5"/>
  <c r="AR102" i="5"/>
  <c r="AA102" i="5"/>
  <c r="BD102" i="5"/>
  <c r="BC102" i="5"/>
  <c r="E102" i="5"/>
  <c r="Q102" i="5"/>
  <c r="BF102" i="5"/>
  <c r="I102" i="5"/>
  <c r="AW102" i="5"/>
  <c r="BB102" i="5"/>
  <c r="K102" i="5"/>
  <c r="AZ102" i="5"/>
  <c r="AL102" i="5"/>
  <c r="AQ102" i="5"/>
  <c r="AV102" i="5"/>
  <c r="T102" i="5"/>
  <c r="AN102" i="5"/>
  <c r="AY102" i="5"/>
  <c r="AK102" i="5"/>
  <c r="AP102" i="5"/>
  <c r="BA102" i="5"/>
  <c r="AB102" i="5"/>
  <c r="AM102" i="5"/>
  <c r="AE102" i="5"/>
  <c r="AJ102" i="5"/>
  <c r="AO102" i="5"/>
  <c r="P102" i="5"/>
  <c r="U102" i="5"/>
  <c r="BE102" i="5"/>
  <c r="S102" i="5"/>
  <c r="AD102" i="5"/>
  <c r="W102" i="5"/>
  <c r="D102" i="5"/>
  <c r="Z102" i="5"/>
  <c r="BI102" i="5"/>
  <c r="G102" i="5"/>
  <c r="R102" i="5"/>
  <c r="AT102" i="5"/>
  <c r="C102" i="5"/>
  <c r="N102" i="5"/>
  <c r="V102" i="5"/>
  <c r="H102" i="5"/>
  <c r="L102" i="5"/>
  <c r="AH102" i="5"/>
  <c r="AX102" i="5"/>
  <c r="B102" i="5"/>
  <c r="L52" i="22"/>
  <c r="BG16" i="5" a="1"/>
  <c r="BG16" i="5" s="1"/>
  <c r="BE16" i="5" a="1"/>
  <c r="BE16" i="5" s="1"/>
  <c r="Y55" i="22"/>
  <c r="D94" i="22" a="1"/>
  <c r="D94" i="22" s="1"/>
  <c r="D92" i="22" a="1"/>
  <c r="D92" i="22" s="1"/>
  <c r="D90" i="22" a="1"/>
  <c r="D90" i="22" s="1"/>
  <c r="D88" i="22" a="1"/>
  <c r="D88" i="22" s="1"/>
  <c r="D80" i="22" a="1"/>
  <c r="D80" i="22" s="1"/>
  <c r="D78" i="22" a="1"/>
  <c r="D78" i="22" s="1"/>
  <c r="D54" i="22" a="1"/>
  <c r="D54" i="22" s="1"/>
  <c r="D50" i="22" a="1"/>
  <c r="D50" i="22" s="1"/>
  <c r="D46" i="22" a="1"/>
  <c r="D46" i="22" s="1"/>
  <c r="D44" i="22" a="1"/>
  <c r="D44" i="22" s="1"/>
  <c r="D42" i="22" a="1"/>
  <c r="D42" i="22" s="1"/>
  <c r="D40" i="22" a="1"/>
  <c r="D40" i="22" s="1"/>
  <c r="D38" i="22" a="1"/>
  <c r="D38" i="22" s="1"/>
  <c r="D36" i="22" a="1"/>
  <c r="D36" i="22" s="1"/>
  <c r="D34" i="22" a="1"/>
  <c r="D34" i="22" s="1"/>
  <c r="D30" i="22" a="1"/>
  <c r="D30" i="22" s="1"/>
  <c r="D26" i="22" a="1"/>
  <c r="D26" i="22" s="1"/>
  <c r="D22" i="22" a="1"/>
  <c r="D22" i="22" s="1"/>
  <c r="D20" i="22" a="1"/>
  <c r="D20" i="22" s="1"/>
  <c r="D18" i="22" a="1"/>
  <c r="D18" i="22" s="1"/>
  <c r="D16" i="22" a="1"/>
  <c r="D16" i="22" s="1"/>
  <c r="D14" i="22" a="1"/>
  <c r="D14" i="22" s="1"/>
  <c r="D8" i="22" a="1"/>
  <c r="D8" i="22" s="1"/>
  <c r="AE5" i="22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S6" i="5" l="1" a="1"/>
  <c r="BS6" i="5" s="1"/>
  <c r="J58" i="31" a="1"/>
  <c r="J58" i="31" s="1"/>
  <c r="BS60" i="5" s="1" a="1"/>
  <c r="BS60" i="5" s="1"/>
  <c r="J56" i="31" a="1"/>
  <c r="J56" i="31" s="1"/>
  <c r="J26" i="31" a="1"/>
  <c r="J26" i="31" s="1"/>
  <c r="BS28" i="5" s="1" a="1"/>
  <c r="BS28" i="5" s="1"/>
  <c r="J27" i="31" a="1"/>
  <c r="J27" i="31" s="1"/>
  <c r="BS29" i="5" s="1" a="1"/>
  <c r="BS29" i="5" s="1"/>
  <c r="G8" i="31" a="1"/>
  <c r="G8" i="31" s="1"/>
  <c r="G7" i="31" a="1"/>
  <c r="G7" i="31" s="1"/>
  <c r="G12" i="31" a="1"/>
  <c r="G12" i="31" s="1"/>
  <c r="G14" i="31" a="1"/>
  <c r="G14" i="31" s="1"/>
  <c r="G15" i="31" a="1"/>
  <c r="G15" i="31" s="1"/>
  <c r="G17" i="31" a="1"/>
  <c r="G17" i="31" s="1"/>
  <c r="G19" i="31" a="1"/>
  <c r="G19" i="31" s="1"/>
  <c r="G21" i="31" a="1"/>
  <c r="G21" i="31" s="1"/>
  <c r="G23" i="31" a="1"/>
  <c r="G23" i="31" s="1"/>
  <c r="H25" i="31" a="1"/>
  <c r="H25" i="31" s="1"/>
  <c r="G28" i="31" a="1"/>
  <c r="G28" i="31" s="1"/>
  <c r="I30" i="31" a="1"/>
  <c r="I30" i="31" s="1"/>
  <c r="J33" i="31" a="1"/>
  <c r="J33" i="31" s="1"/>
  <c r="BS35" i="5" s="1" a="1"/>
  <c r="BS35" i="5" s="1"/>
  <c r="H35" i="31" a="1"/>
  <c r="H35" i="31" s="1"/>
  <c r="G40" i="31" a="1"/>
  <c r="G40" i="31" s="1"/>
  <c r="G41" i="31" a="1"/>
  <c r="G41" i="31" s="1"/>
  <c r="G44" i="31" a="1"/>
  <c r="G44" i="31" s="1"/>
  <c r="G46" i="31" a="1"/>
  <c r="G46" i="31" s="1"/>
  <c r="G48" i="31" a="1"/>
  <c r="G48" i="31" s="1"/>
  <c r="G50" i="31" a="1"/>
  <c r="G50" i="31" s="1"/>
  <c r="G59" i="31" a="1"/>
  <c r="G59" i="31" s="1"/>
  <c r="J61" i="31" a="1"/>
  <c r="J61" i="31" s="1"/>
  <c r="BS63" i="5" s="1" a="1"/>
  <c r="BS63" i="5" s="1"/>
  <c r="J62" i="31" a="1"/>
  <c r="J62" i="31" s="1"/>
  <c r="BS64" i="5" s="1" a="1"/>
  <c r="BS64" i="5" s="1"/>
  <c r="J35" i="31" a="1"/>
  <c r="J35" i="31" s="1"/>
  <c r="BS37" i="5" s="1" a="1"/>
  <c r="BS37" i="5" s="1"/>
  <c r="H8" i="31" a="1"/>
  <c r="H8" i="31" s="1"/>
  <c r="H7" i="31" a="1"/>
  <c r="H7" i="31" s="1"/>
  <c r="H12" i="31" a="1"/>
  <c r="H12" i="31" s="1"/>
  <c r="H14" i="31" a="1"/>
  <c r="H14" i="31" s="1"/>
  <c r="H15" i="31" a="1"/>
  <c r="H15" i="31" s="1"/>
  <c r="H17" i="31" a="1"/>
  <c r="H17" i="31" s="1"/>
  <c r="H19" i="31" a="1"/>
  <c r="H19" i="31" s="1"/>
  <c r="H21" i="31" a="1"/>
  <c r="H21" i="31" s="1"/>
  <c r="H23" i="31" a="1"/>
  <c r="H23" i="31" s="1"/>
  <c r="I25" i="31" a="1"/>
  <c r="I25" i="31" s="1"/>
  <c r="H28" i="31" a="1"/>
  <c r="H28" i="31" s="1"/>
  <c r="G33" i="31" a="1"/>
  <c r="G33" i="31" s="1"/>
  <c r="I35" i="31" a="1"/>
  <c r="I35" i="31" s="1"/>
  <c r="J38" i="31" a="1"/>
  <c r="J38" i="31" s="1"/>
  <c r="BS40" i="5" s="1" a="1"/>
  <c r="BS40" i="5" s="1"/>
  <c r="H40" i="31" a="1"/>
  <c r="H40" i="31" s="1"/>
  <c r="H41" i="31" a="1"/>
  <c r="H41" i="31" s="1"/>
  <c r="H44" i="31" a="1"/>
  <c r="H44" i="31" s="1"/>
  <c r="H46" i="31" a="1"/>
  <c r="H46" i="31" s="1"/>
  <c r="H48" i="31" a="1"/>
  <c r="H48" i="31" s="1"/>
  <c r="H50" i="31" a="1"/>
  <c r="H50" i="31" s="1"/>
  <c r="H59" i="31" a="1"/>
  <c r="H59" i="31" s="1"/>
  <c r="G61" i="31" a="1"/>
  <c r="G61" i="31" s="1"/>
  <c r="G62" i="31" a="1"/>
  <c r="G62" i="31" s="1"/>
  <c r="I8" i="31" a="1"/>
  <c r="I8" i="31" s="1"/>
  <c r="I7" i="31" a="1"/>
  <c r="I7" i="31" s="1"/>
  <c r="I12" i="31" a="1"/>
  <c r="I12" i="31" s="1"/>
  <c r="I14" i="31" a="1"/>
  <c r="I14" i="31" s="1"/>
  <c r="I15" i="31" a="1"/>
  <c r="I15" i="31" s="1"/>
  <c r="I17" i="31" a="1"/>
  <c r="I17" i="31" s="1"/>
  <c r="I19" i="31" a="1"/>
  <c r="I19" i="31" s="1"/>
  <c r="I21" i="31" a="1"/>
  <c r="I21" i="31" s="1"/>
  <c r="I23" i="31" a="1"/>
  <c r="I23" i="31" s="1"/>
  <c r="I28" i="31" a="1"/>
  <c r="I28" i="31" s="1"/>
  <c r="J31" i="31" a="1"/>
  <c r="J31" i="31" s="1"/>
  <c r="BS33" i="5" s="1" a="1"/>
  <c r="BS33" i="5" s="1"/>
  <c r="H33" i="31" a="1"/>
  <c r="H33" i="31" s="1"/>
  <c r="G38" i="31" a="1"/>
  <c r="G38" i="31" s="1"/>
  <c r="I40" i="31" a="1"/>
  <c r="I40" i="31" s="1"/>
  <c r="I41" i="31" a="1"/>
  <c r="I41" i="31" s="1"/>
  <c r="I44" i="31" a="1"/>
  <c r="I44" i="31" s="1"/>
  <c r="I46" i="31" a="1"/>
  <c r="I46" i="31" s="1"/>
  <c r="I48" i="31" a="1"/>
  <c r="I48" i="31" s="1"/>
  <c r="I50" i="31" a="1"/>
  <c r="I50" i="31" s="1"/>
  <c r="I59" i="31" a="1"/>
  <c r="I59" i="31" s="1"/>
  <c r="H61" i="31" a="1"/>
  <c r="H61" i="31" s="1"/>
  <c r="H62" i="31" a="1"/>
  <c r="H62" i="31" s="1"/>
  <c r="G26" i="31" a="1"/>
  <c r="G26" i="31" s="1"/>
  <c r="G31" i="31" a="1"/>
  <c r="G31" i="31" s="1"/>
  <c r="I33" i="31" a="1"/>
  <c r="I33" i="31" s="1"/>
  <c r="J36" i="31" a="1"/>
  <c r="J36" i="31" s="1"/>
  <c r="BS38" i="5" s="1" a="1"/>
  <c r="BS38" i="5" s="1"/>
  <c r="H38" i="31" a="1"/>
  <c r="H38" i="31" s="1"/>
  <c r="I61" i="31" a="1"/>
  <c r="I61" i="31" s="1"/>
  <c r="I62" i="31" a="1"/>
  <c r="I62" i="31" s="1"/>
  <c r="J52" i="31" a="1"/>
  <c r="J52" i="31" s="1"/>
  <c r="BS54" i="5" s="1" a="1"/>
  <c r="BS54" i="5" s="1"/>
  <c r="H26" i="31" a="1"/>
  <c r="H26" i="31" s="1"/>
  <c r="J29" i="31" a="1"/>
  <c r="J29" i="31" s="1"/>
  <c r="BS31" i="5" s="1" a="1"/>
  <c r="BS31" i="5" s="1"/>
  <c r="H31" i="31" a="1"/>
  <c r="H31" i="31" s="1"/>
  <c r="G36" i="31" a="1"/>
  <c r="G36" i="31" s="1"/>
  <c r="I38" i="31" a="1"/>
  <c r="I38" i="31" s="1"/>
  <c r="I32" i="31" a="1"/>
  <c r="I32" i="31" s="1"/>
  <c r="J3" i="31" a="1"/>
  <c r="J3" i="31" s="1"/>
  <c r="BS5" i="5" s="1" a="1"/>
  <c r="BS5" i="5" s="1"/>
  <c r="J9" i="31" a="1"/>
  <c r="J9" i="31" s="1"/>
  <c r="BS11" i="5" s="1" a="1"/>
  <c r="BS11" i="5" s="1"/>
  <c r="J10" i="31" a="1"/>
  <c r="J10" i="31" s="1"/>
  <c r="BS12" i="5" s="1" a="1"/>
  <c r="BS12" i="5" s="1"/>
  <c r="J13" i="31" a="1"/>
  <c r="J13" i="31" s="1"/>
  <c r="BS15" i="5" s="1" a="1"/>
  <c r="BS15" i="5" s="1"/>
  <c r="J11" i="31" a="1"/>
  <c r="J11" i="31" s="1"/>
  <c r="BS13" i="5" s="1" a="1"/>
  <c r="BS13" i="5" s="1"/>
  <c r="J16" i="31" a="1"/>
  <c r="J16" i="31" s="1"/>
  <c r="BS18" i="5" s="1" a="1"/>
  <c r="BS18" i="5" s="1"/>
  <c r="J18" i="31" a="1"/>
  <c r="J18" i="31" s="1"/>
  <c r="BS20" i="5" s="1" a="1"/>
  <c r="BS20" i="5" s="1"/>
  <c r="J20" i="31" a="1"/>
  <c r="J20" i="31" s="1"/>
  <c r="BS22" i="5" s="1" a="1"/>
  <c r="BS22" i="5" s="1"/>
  <c r="J22" i="31" a="1"/>
  <c r="J22" i="31" s="1"/>
  <c r="BS24" i="5" s="1" a="1"/>
  <c r="BS24" i="5" s="1"/>
  <c r="J24" i="31" a="1"/>
  <c r="J24" i="31" s="1"/>
  <c r="BS26" i="5" s="1" a="1"/>
  <c r="BS26" i="5" s="1"/>
  <c r="I26" i="31" a="1"/>
  <c r="I26" i="31" s="1"/>
  <c r="G29" i="31" a="1"/>
  <c r="G29" i="31" s="1"/>
  <c r="I31" i="31" a="1"/>
  <c r="I31" i="31" s="1"/>
  <c r="J34" i="31" a="1"/>
  <c r="J34" i="31" s="1"/>
  <c r="BS36" i="5" s="1" a="1"/>
  <c r="BS36" i="5" s="1"/>
  <c r="H36" i="31" a="1"/>
  <c r="H36" i="31" s="1"/>
  <c r="J42" i="31" a="1"/>
  <c r="J42" i="31" s="1"/>
  <c r="BS44" i="5" s="1" a="1"/>
  <c r="BS44" i="5" s="1"/>
  <c r="J43" i="31" a="1"/>
  <c r="J43" i="31" s="1"/>
  <c r="BS45" i="5" s="1" a="1"/>
  <c r="BS45" i="5" s="1"/>
  <c r="J45" i="31" a="1"/>
  <c r="J45" i="31" s="1"/>
  <c r="BS47" i="5" s="1" a="1"/>
  <c r="BS47" i="5" s="1"/>
  <c r="J47" i="31" a="1"/>
  <c r="J47" i="31" s="1"/>
  <c r="BS49" i="5" s="1" a="1"/>
  <c r="BS49" i="5" s="1"/>
  <c r="J49" i="31" a="1"/>
  <c r="J49" i="31" s="1"/>
  <c r="BS51" i="5" s="1" a="1"/>
  <c r="BS51" i="5" s="1"/>
  <c r="J51" i="31" a="1"/>
  <c r="J51" i="31" s="1"/>
  <c r="BS53" i="5" s="1" a="1"/>
  <c r="BS53" i="5" s="1"/>
  <c r="J57" i="31" a="1"/>
  <c r="J57" i="31" s="1"/>
  <c r="BS55" i="5" s="1" a="1"/>
  <c r="BS55" i="5" s="1"/>
  <c r="J25" i="31" a="1"/>
  <c r="J25" i="31" s="1"/>
  <c r="BS27" i="5" s="1" a="1"/>
  <c r="BS27" i="5" s="1"/>
  <c r="G3" i="31" a="1"/>
  <c r="G3" i="31" s="1"/>
  <c r="G9" i="31" a="1"/>
  <c r="G9" i="31" s="1"/>
  <c r="G10" i="31" a="1"/>
  <c r="G10" i="31" s="1"/>
  <c r="G13" i="31" a="1"/>
  <c r="G13" i="31" s="1"/>
  <c r="G11" i="31" a="1"/>
  <c r="G11" i="31" s="1"/>
  <c r="G16" i="31" a="1"/>
  <c r="G16" i="31" s="1"/>
  <c r="G18" i="31" a="1"/>
  <c r="G18" i="31" s="1"/>
  <c r="G20" i="31" a="1"/>
  <c r="G20" i="31" s="1"/>
  <c r="G22" i="31" a="1"/>
  <c r="G22" i="31" s="1"/>
  <c r="G24" i="31" a="1"/>
  <c r="G24" i="31" s="1"/>
  <c r="H29" i="31" a="1"/>
  <c r="H29" i="31" s="1"/>
  <c r="G34" i="31" a="1"/>
  <c r="G34" i="31" s="1"/>
  <c r="I36" i="31" a="1"/>
  <c r="I36" i="31" s="1"/>
  <c r="J39" i="31" a="1"/>
  <c r="J39" i="31" s="1"/>
  <c r="BS41" i="5" s="1" a="1"/>
  <c r="BS41" i="5" s="1"/>
  <c r="G42" i="31" a="1"/>
  <c r="G42" i="31" s="1"/>
  <c r="G43" i="31" a="1"/>
  <c r="G43" i="31" s="1"/>
  <c r="G45" i="31" a="1"/>
  <c r="G45" i="31" s="1"/>
  <c r="G47" i="31" a="1"/>
  <c r="G47" i="31" s="1"/>
  <c r="G49" i="31" a="1"/>
  <c r="G49" i="31" s="1"/>
  <c r="G51" i="31" a="1"/>
  <c r="G51" i="31" s="1"/>
  <c r="J60" i="31" a="1"/>
  <c r="J60" i="31" s="1"/>
  <c r="BS62" i="5" s="1" a="1"/>
  <c r="BS62" i="5" s="1"/>
  <c r="G30" i="31" a="1"/>
  <c r="G30" i="31" s="1"/>
  <c r="H3" i="31" a="1"/>
  <c r="H3" i="31" s="1"/>
  <c r="H9" i="31" a="1"/>
  <c r="H9" i="31" s="1"/>
  <c r="H10" i="31" a="1"/>
  <c r="H10" i="31" s="1"/>
  <c r="H13" i="31" a="1"/>
  <c r="H13" i="31" s="1"/>
  <c r="H11" i="31" a="1"/>
  <c r="H11" i="31" s="1"/>
  <c r="H16" i="31" a="1"/>
  <c r="H16" i="31" s="1"/>
  <c r="H18" i="31" a="1"/>
  <c r="H18" i="31" s="1"/>
  <c r="H20" i="31" a="1"/>
  <c r="H20" i="31" s="1"/>
  <c r="H22" i="31" a="1"/>
  <c r="H22" i="31" s="1"/>
  <c r="H24" i="31" a="1"/>
  <c r="H24" i="31" s="1"/>
  <c r="G27" i="31" a="1"/>
  <c r="G27" i="31" s="1"/>
  <c r="I29" i="31" a="1"/>
  <c r="I29" i="31" s="1"/>
  <c r="J32" i="31" a="1"/>
  <c r="J32" i="31" s="1"/>
  <c r="BS34" i="5" s="1" a="1"/>
  <c r="BS34" i="5" s="1"/>
  <c r="H34" i="31" a="1"/>
  <c r="H34" i="31" s="1"/>
  <c r="G39" i="31" a="1"/>
  <c r="G39" i="31" s="1"/>
  <c r="H42" i="31" a="1"/>
  <c r="H42" i="31" s="1"/>
  <c r="H43" i="31" a="1"/>
  <c r="H43" i="31" s="1"/>
  <c r="H45" i="31" a="1"/>
  <c r="H45" i="31" s="1"/>
  <c r="H47" i="31" a="1"/>
  <c r="H47" i="31" s="1"/>
  <c r="H49" i="31" a="1"/>
  <c r="H49" i="31" s="1"/>
  <c r="H51" i="31" a="1"/>
  <c r="H51" i="31" s="1"/>
  <c r="G60" i="31" a="1"/>
  <c r="G60" i="31" s="1"/>
  <c r="I3" i="31" a="1"/>
  <c r="I3" i="31" s="1"/>
  <c r="I9" i="31" a="1"/>
  <c r="I9" i="31" s="1"/>
  <c r="I10" i="31" a="1"/>
  <c r="I10" i="31" s="1"/>
  <c r="I13" i="31" a="1"/>
  <c r="I13" i="31" s="1"/>
  <c r="I11" i="31" a="1"/>
  <c r="I11" i="31" s="1"/>
  <c r="I16" i="31" a="1"/>
  <c r="I16" i="31" s="1"/>
  <c r="I18" i="31" a="1"/>
  <c r="I18" i="31" s="1"/>
  <c r="I20" i="31" a="1"/>
  <c r="I20" i="31" s="1"/>
  <c r="I22" i="31" a="1"/>
  <c r="I22" i="31" s="1"/>
  <c r="I24" i="31" a="1"/>
  <c r="I24" i="31" s="1"/>
  <c r="H27" i="31" a="1"/>
  <c r="H27" i="31" s="1"/>
  <c r="G32" i="31" a="1"/>
  <c r="G32" i="31" s="1"/>
  <c r="I34" i="31" a="1"/>
  <c r="I34" i="31" s="1"/>
  <c r="J37" i="31" a="1"/>
  <c r="J37" i="31" s="1"/>
  <c r="BS39" i="5" s="1" a="1"/>
  <c r="BS39" i="5" s="1"/>
  <c r="H39" i="31" a="1"/>
  <c r="H39" i="31" s="1"/>
  <c r="I42" i="31" a="1"/>
  <c r="I42" i="31" s="1"/>
  <c r="I43" i="31" a="1"/>
  <c r="I43" i="31" s="1"/>
  <c r="I45" i="31" a="1"/>
  <c r="I45" i="31" s="1"/>
  <c r="I47" i="31" a="1"/>
  <c r="I47" i="31" s="1"/>
  <c r="I49" i="31" a="1"/>
  <c r="I49" i="31" s="1"/>
  <c r="I51" i="31" a="1"/>
  <c r="I51" i="31" s="1"/>
  <c r="H60" i="31" a="1"/>
  <c r="H60" i="31" s="1"/>
  <c r="H37" i="31" a="1"/>
  <c r="H37" i="31" s="1"/>
  <c r="I27" i="31" a="1"/>
  <c r="I27" i="31" s="1"/>
  <c r="J30" i="31" a="1"/>
  <c r="J30" i="31" s="1"/>
  <c r="BS32" i="5" s="1" a="1"/>
  <c r="BS32" i="5" s="1"/>
  <c r="H32" i="31" a="1"/>
  <c r="H32" i="31" s="1"/>
  <c r="G37" i="31" a="1"/>
  <c r="G37" i="31" s="1"/>
  <c r="I39" i="31" a="1"/>
  <c r="I39" i="31" s="1"/>
  <c r="I60" i="31" a="1"/>
  <c r="I60" i="31" s="1"/>
  <c r="J8" i="31" a="1"/>
  <c r="J8" i="31" s="1"/>
  <c r="BS10" i="5" s="1" a="1"/>
  <c r="BS10" i="5" s="1"/>
  <c r="J7" i="31" a="1"/>
  <c r="J7" i="31" s="1"/>
  <c r="BS9" i="5" s="1" a="1"/>
  <c r="BS9" i="5" s="1"/>
  <c r="J12" i="31" a="1"/>
  <c r="J12" i="31" s="1"/>
  <c r="BS14" i="5" s="1" a="1"/>
  <c r="BS14" i="5" s="1"/>
  <c r="J14" i="31" a="1"/>
  <c r="J14" i="31" s="1"/>
  <c r="BS16" i="5" s="1" a="1"/>
  <c r="BS16" i="5" s="1"/>
  <c r="J15" i="31" a="1"/>
  <c r="J15" i="31" s="1"/>
  <c r="BS17" i="5" s="1" a="1"/>
  <c r="BS17" i="5" s="1"/>
  <c r="J17" i="31" a="1"/>
  <c r="J17" i="31" s="1"/>
  <c r="BS19" i="5" s="1" a="1"/>
  <c r="BS19" i="5" s="1"/>
  <c r="J19" i="31" a="1"/>
  <c r="J19" i="31" s="1"/>
  <c r="BS21" i="5" s="1" a="1"/>
  <c r="BS21" i="5" s="1"/>
  <c r="J21" i="31" a="1"/>
  <c r="J21" i="31" s="1"/>
  <c r="BS23" i="5" s="1" a="1"/>
  <c r="BS23" i="5" s="1"/>
  <c r="J23" i="31" a="1"/>
  <c r="J23" i="31" s="1"/>
  <c r="BS25" i="5" s="1" a="1"/>
  <c r="BS25" i="5" s="1"/>
  <c r="G25" i="31" a="1"/>
  <c r="G25" i="31" s="1"/>
  <c r="J28" i="31" a="1"/>
  <c r="J28" i="31" s="1"/>
  <c r="BS30" i="5" s="1" a="1"/>
  <c r="BS30" i="5" s="1"/>
  <c r="H30" i="31" a="1"/>
  <c r="H30" i="31" s="1"/>
  <c r="G35" i="31" a="1"/>
  <c r="G35" i="31" s="1"/>
  <c r="I37" i="31" a="1"/>
  <c r="I37" i="31" s="1"/>
  <c r="J40" i="31" a="1"/>
  <c r="J40" i="31" s="1"/>
  <c r="BS42" i="5" s="1" a="1"/>
  <c r="BS42" i="5" s="1"/>
  <c r="J41" i="31" a="1"/>
  <c r="J41" i="31" s="1"/>
  <c r="BS43" i="5" s="1" a="1"/>
  <c r="BS43" i="5" s="1"/>
  <c r="J44" i="31" a="1"/>
  <c r="J44" i="31" s="1"/>
  <c r="BS46" i="5" s="1" a="1"/>
  <c r="BS46" i="5" s="1"/>
  <c r="J46" i="31" a="1"/>
  <c r="J46" i="31" s="1"/>
  <c r="BS48" i="5" s="1" a="1"/>
  <c r="BS48" i="5" s="1"/>
  <c r="J48" i="31" a="1"/>
  <c r="J48" i="31" s="1"/>
  <c r="BS50" i="5" s="1" a="1"/>
  <c r="BS50" i="5" s="1"/>
  <c r="J50" i="31" a="1"/>
  <c r="J50" i="31" s="1"/>
  <c r="BS52" i="5" s="1" a="1"/>
  <c r="BS52" i="5" s="1"/>
  <c r="J59" i="31" a="1"/>
  <c r="J59" i="31" s="1"/>
  <c r="BS61" i="5" s="1" a="1"/>
  <c r="BS61" i="5" s="1"/>
  <c r="A92" i="5"/>
  <c r="B108" i="5"/>
  <c r="L38" i="22"/>
  <c r="L36" i="22"/>
  <c r="L88" i="22"/>
  <c r="L8" i="22"/>
  <c r="L42" i="22"/>
  <c r="L92" i="22"/>
  <c r="L14" i="22"/>
  <c r="L44" i="22"/>
  <c r="L94" i="22"/>
  <c r="L20" i="22"/>
  <c r="L54" i="22"/>
  <c r="L91" i="22"/>
  <c r="L16" i="22"/>
  <c r="L22" i="22"/>
  <c r="L75" i="22"/>
  <c r="L40" i="22"/>
  <c r="L50" i="22"/>
  <c r="L26" i="22"/>
  <c r="L76" i="22"/>
  <c r="L18" i="22"/>
  <c r="L30" i="22"/>
  <c r="L78" i="22"/>
  <c r="L90" i="22"/>
  <c r="L46" i="22"/>
  <c r="L34" i="22"/>
  <c r="L80" i="22"/>
  <c r="O2" i="22"/>
  <c r="BS59" i="5" l="1" a="1"/>
  <c r="BS59" i="5" s="1"/>
  <c r="BS58" i="5" a="1"/>
  <c r="BS58" i="5" s="1"/>
  <c r="D20" i="5" a="1"/>
  <c r="AP100" i="5" a="1"/>
  <c r="AP100" i="5" s="1"/>
  <c r="F100" i="5" a="1"/>
  <c r="F100" i="5" s="1"/>
  <c r="E100" i="5" a="1"/>
  <c r="E100" i="5" s="1"/>
  <c r="AR100" i="5" a="1"/>
  <c r="AR100" i="5" s="1"/>
  <c r="Y100" i="5" a="1"/>
  <c r="Y100" i="5" s="1"/>
  <c r="AL100" i="5" a="1"/>
  <c r="AL100" i="5" s="1"/>
  <c r="AV100" i="5" a="1"/>
  <c r="AV100" i="5" s="1"/>
  <c r="AN100" i="5" a="1"/>
  <c r="AN100" i="5" s="1"/>
  <c r="AK100" i="5" a="1"/>
  <c r="AK100" i="5" s="1"/>
  <c r="BF100" i="5" a="1"/>
  <c r="BF100" i="5" s="1"/>
  <c r="AC100" i="5" a="1"/>
  <c r="AC100" i="5" s="1"/>
  <c r="AJ100" i="5" a="1"/>
  <c r="AJ100" i="5" s="1"/>
  <c r="P100" i="5" a="1"/>
  <c r="P100" i="5" s="1"/>
  <c r="BE100" i="5" a="1"/>
  <c r="BE100" i="5" s="1"/>
  <c r="AD100" i="5" a="1"/>
  <c r="AD100" i="5" s="1"/>
  <c r="G100" i="5" a="1"/>
  <c r="G100" i="5" s="1"/>
  <c r="O100" i="5" a="1"/>
  <c r="O100" i="5" s="1"/>
  <c r="K100" i="5" a="1"/>
  <c r="K100" i="5" s="1"/>
  <c r="R100" i="5" a="1"/>
  <c r="R100" i="5" s="1"/>
  <c r="C100" i="5" a="1"/>
  <c r="C100" i="5" s="1"/>
  <c r="V100" i="5" a="1"/>
  <c r="V100" i="5" s="1"/>
  <c r="L100" i="5" a="1"/>
  <c r="L100" i="5" s="1"/>
  <c r="BG100" i="5" a="1"/>
  <c r="BG100" i="5" s="1"/>
  <c r="AM100" i="5" a="1"/>
  <c r="AM100" i="5" s="1"/>
  <c r="J100" i="5" a="1"/>
  <c r="J100" i="5" s="1"/>
  <c r="BA100" i="5" a="1"/>
  <c r="BA100" i="5" s="1"/>
  <c r="BH100" i="5" a="1"/>
  <c r="BH100" i="5" s="1"/>
  <c r="BI100" i="5" a="1"/>
  <c r="BI100" i="5" s="1"/>
  <c r="AA100" i="5" a="1"/>
  <c r="AA100" i="5" s="1"/>
  <c r="B100" i="5" a="1"/>
  <c r="B100" i="5" s="1"/>
  <c r="AF100" i="5" a="1"/>
  <c r="AF100" i="5" s="1"/>
  <c r="AG100" i="5" a="1"/>
  <c r="AG100" i="5" s="1"/>
  <c r="AX100" i="5" a="1"/>
  <c r="AX100" i="5" s="1"/>
  <c r="AQ100" i="5" a="1"/>
  <c r="AQ100" i="5" s="1"/>
  <c r="M100" i="5" a="1"/>
  <c r="M100" i="5" s="1"/>
  <c r="AU100" i="5" a="1"/>
  <c r="AU100" i="5" s="1"/>
  <c r="I100" i="5" a="1"/>
  <c r="I100" i="5" s="1"/>
  <c r="X100" i="5" a="1"/>
  <c r="X100" i="5" s="1"/>
  <c r="AO100" i="5" a="1"/>
  <c r="AO100" i="5" s="1"/>
  <c r="BC100" i="5" a="1"/>
  <c r="BC100" i="5" s="1"/>
  <c r="Q100" i="5" a="1"/>
  <c r="Q100" i="5" s="1"/>
  <c r="AI100" i="5" a="1"/>
  <c r="AI100" i="5" s="1"/>
  <c r="B68" i="5" a="1"/>
  <c r="B69" i="5" a="1"/>
  <c r="AT100" i="5" a="1"/>
  <c r="AT100" i="5" s="1"/>
  <c r="T100" i="5" a="1"/>
  <c r="T100" i="5" s="1"/>
  <c r="AY100" i="5" a="1"/>
  <c r="AY100" i="5" s="1"/>
  <c r="W100" i="5" a="1"/>
  <c r="W100" i="5" s="1"/>
  <c r="BD100" i="5" a="1"/>
  <c r="BD100" i="5" s="1"/>
  <c r="AZ100" i="5" a="1"/>
  <c r="AZ100" i="5" s="1"/>
  <c r="AW100" i="5" a="1"/>
  <c r="AW100" i="5" s="1"/>
  <c r="D100" i="5" a="1"/>
  <c r="D100" i="5" s="1"/>
  <c r="U100" i="5" a="1"/>
  <c r="U100" i="5" s="1"/>
  <c r="S100" i="5" a="1"/>
  <c r="S100" i="5" s="1"/>
  <c r="AH100" i="5" a="1"/>
  <c r="AH100" i="5" s="1"/>
  <c r="AS100" i="5" a="1"/>
  <c r="AS100" i="5" s="1"/>
  <c r="AE100" i="5" a="1"/>
  <c r="AE100" i="5" s="1"/>
  <c r="Z100" i="5" a="1"/>
  <c r="Z100" i="5" s="1"/>
  <c r="BB100" i="5" a="1"/>
  <c r="BB100" i="5" s="1"/>
  <c r="N100" i="5" a="1"/>
  <c r="N100" i="5" s="1"/>
  <c r="H100" i="5" a="1"/>
  <c r="H100" i="5" s="1"/>
  <c r="AB100" i="5" a="1"/>
  <c r="AB100" i="5" s="1"/>
  <c r="M96" i="22"/>
  <c r="BR6" i="5" l="1" a="1"/>
  <c r="BR6" i="5" s="1"/>
  <c r="BV6" i="5" s="1"/>
  <c r="BR11" i="5" a="1"/>
  <c r="BR11" i="5" s="1"/>
  <c r="BR24" i="5" a="1"/>
  <c r="BR24" i="5" s="1"/>
  <c r="BR30" i="5" a="1"/>
  <c r="BR30" i="5" s="1"/>
  <c r="BR49" i="5" a="1"/>
  <c r="BR49" i="5" s="1"/>
  <c r="BR19" i="5" a="1"/>
  <c r="BR19" i="5" s="1"/>
  <c r="BV19" i="5" s="1"/>
  <c r="BR27" i="5" a="1"/>
  <c r="BR27" i="5" s="1"/>
  <c r="BR44" i="5" a="1"/>
  <c r="BR44" i="5" s="1"/>
  <c r="BR62" i="5" a="1"/>
  <c r="BR62" i="5" s="1"/>
  <c r="BR7" i="5" a="1"/>
  <c r="BR7" i="5" s="1"/>
  <c r="BR16" i="5" a="1"/>
  <c r="BR16" i="5" s="1"/>
  <c r="BR14" i="5" a="1"/>
  <c r="BR14" i="5" s="1"/>
  <c r="BV14" i="5" s="1"/>
  <c r="BR34" i="5" a="1"/>
  <c r="BR34" i="5" s="1"/>
  <c r="BR39" i="5" a="1"/>
  <c r="BR39" i="5" s="1"/>
  <c r="BR52" i="5" a="1"/>
  <c r="BR52" i="5" s="1"/>
  <c r="BR57" i="5" a="1"/>
  <c r="BR57" i="5" s="1"/>
  <c r="BR41" i="5" a="1"/>
  <c r="BR41" i="5" s="1"/>
  <c r="BR9" i="5" a="1"/>
  <c r="BR9" i="5" s="1"/>
  <c r="BR22" i="5" a="1"/>
  <c r="BR22" i="5" s="1"/>
  <c r="BR42" i="5" a="1"/>
  <c r="BR42" i="5" s="1"/>
  <c r="BR47" i="5" a="1"/>
  <c r="BR47" i="5" s="1"/>
  <c r="BR60" i="5" a="1"/>
  <c r="BR60" i="5" s="1"/>
  <c r="BR28" i="5" a="1"/>
  <c r="BR28" i="5" s="1"/>
  <c r="BR50" i="5" a="1"/>
  <c r="BR50" i="5" s="1"/>
  <c r="BR36" i="5" a="1"/>
  <c r="BR36" i="5" s="1"/>
  <c r="BR12" i="5" a="1"/>
  <c r="BR12" i="5" s="1"/>
  <c r="BR17" i="5" a="1"/>
  <c r="BR17" i="5" s="1"/>
  <c r="BR25" i="5" a="1"/>
  <c r="BR25" i="5" s="1"/>
  <c r="BR31" i="5" a="1"/>
  <c r="BR31" i="5" s="1"/>
  <c r="BR37" i="5" a="1"/>
  <c r="BR37" i="5" s="1"/>
  <c r="BR55" i="5" a="1"/>
  <c r="BR55" i="5" s="1"/>
  <c r="BR54" i="5" a="1"/>
  <c r="BR54" i="5" s="1"/>
  <c r="BR20" i="5" a="1"/>
  <c r="BR20" i="5" s="1"/>
  <c r="BR40" i="5" a="1"/>
  <c r="BR40" i="5" s="1"/>
  <c r="BR45" i="5" a="1"/>
  <c r="BR45" i="5" s="1"/>
  <c r="BV45" i="5" s="1"/>
  <c r="BR58" i="5" a="1"/>
  <c r="BR58" i="5" s="1"/>
  <c r="BR63" i="5" a="1"/>
  <c r="BR63" i="5" s="1"/>
  <c r="BR43" i="5" a="1"/>
  <c r="BR43" i="5" s="1"/>
  <c r="BR59" i="5" a="1"/>
  <c r="BR59" i="5" s="1"/>
  <c r="BR10" i="5" a="1"/>
  <c r="BR10" i="5" s="1"/>
  <c r="BR15" i="5" a="1"/>
  <c r="BR15" i="5" s="1"/>
  <c r="BR35" i="5" a="1"/>
  <c r="BR35" i="5" s="1"/>
  <c r="BR48" i="5" a="1"/>
  <c r="BR48" i="5" s="1"/>
  <c r="BR53" i="5" a="1"/>
  <c r="BR53" i="5" s="1"/>
  <c r="BR18" i="5" a="1"/>
  <c r="BR18" i="5" s="1"/>
  <c r="BR23" i="5" a="1"/>
  <c r="BR23" i="5" s="1"/>
  <c r="BR61" i="5" a="1"/>
  <c r="BR61" i="5" s="1"/>
  <c r="BR21" i="5" a="1"/>
  <c r="BR21" i="5" s="1"/>
  <c r="BR13" i="5" a="1"/>
  <c r="BR13" i="5" s="1"/>
  <c r="BR26" i="5" a="1"/>
  <c r="BR26" i="5" s="1"/>
  <c r="BV26" i="5" s="1"/>
  <c r="BR29" i="5" a="1"/>
  <c r="BR29" i="5" s="1"/>
  <c r="BR38" i="5" a="1"/>
  <c r="BR38" i="5" s="1"/>
  <c r="BV38" i="5" s="1"/>
  <c r="BR56" i="5" a="1"/>
  <c r="BR56" i="5" s="1"/>
  <c r="BR33" i="5" a="1"/>
  <c r="BR33" i="5" s="1"/>
  <c r="BR46" i="5" a="1"/>
  <c r="BR46" i="5" s="1"/>
  <c r="BR51" i="5" a="1"/>
  <c r="BR51" i="5" s="1"/>
  <c r="BR8" i="5" a="1"/>
  <c r="BR8" i="5" s="1"/>
  <c r="BR64" i="5" a="1"/>
  <c r="BR64" i="5" s="1"/>
  <c r="BR32" i="5" a="1"/>
  <c r="BR32" i="5" s="1"/>
  <c r="BV32" i="5" s="1"/>
  <c r="D20" i="5"/>
  <c r="BR5" i="5" s="1" a="1"/>
  <c r="BR5" i="5" s="1"/>
  <c r="BV5" i="5" s="1"/>
  <c r="BT6" i="5"/>
  <c r="BV24" i="5"/>
  <c r="B68" i="5"/>
  <c r="B77" i="5" s="1"/>
  <c r="B74" i="5"/>
  <c r="B69" i="5"/>
  <c r="B87" i="5" s="1"/>
  <c r="BT43" i="5" l="1"/>
  <c r="BV43" i="5"/>
  <c r="BT22" i="5"/>
  <c r="BV22" i="5"/>
  <c r="BT34" i="5"/>
  <c r="BV34" i="5"/>
  <c r="BT50" i="5"/>
  <c r="BV50" i="5"/>
  <c r="BT51" i="5"/>
  <c r="BV51" i="5"/>
  <c r="BT42" i="5"/>
  <c r="BV42" i="5"/>
  <c r="BT54" i="5"/>
  <c r="BV54" i="5"/>
  <c r="BT64" i="5"/>
  <c r="BV64" i="5"/>
  <c r="BT25" i="5"/>
  <c r="BV25" i="5"/>
  <c r="BT9" i="5"/>
  <c r="BV9" i="5"/>
  <c r="BT21" i="5"/>
  <c r="BV21" i="5"/>
  <c r="BT37" i="5"/>
  <c r="BV37" i="5"/>
  <c r="BT46" i="5"/>
  <c r="BV46" i="5"/>
  <c r="BT7" i="5"/>
  <c r="BV7" i="5"/>
  <c r="BT16" i="5"/>
  <c r="BV16" i="5"/>
  <c r="BT62" i="5"/>
  <c r="BV62" i="5"/>
  <c r="BT33" i="5"/>
  <c r="BV33" i="5"/>
  <c r="BT49" i="5"/>
  <c r="BV49" i="5"/>
  <c r="BT20" i="5"/>
  <c r="BV20" i="5"/>
  <c r="BT57" i="5"/>
  <c r="BV57" i="5"/>
  <c r="BT52" i="5"/>
  <c r="BV52" i="5"/>
  <c r="BT27" i="5"/>
  <c r="BV27" i="5"/>
  <c r="BT48" i="5"/>
  <c r="BV48" i="5"/>
  <c r="BT59" i="5"/>
  <c r="BV59" i="5"/>
  <c r="BT28" i="5"/>
  <c r="BV28" i="5"/>
  <c r="BT56" i="5"/>
  <c r="BV56" i="5"/>
  <c r="BT47" i="5"/>
  <c r="BV47" i="5"/>
  <c r="BT58" i="5"/>
  <c r="BV58" i="5"/>
  <c r="BT29" i="5"/>
  <c r="BV29" i="5"/>
  <c r="BT40" i="5"/>
  <c r="BV40" i="5"/>
  <c r="BT53" i="5"/>
  <c r="BV53" i="5"/>
  <c r="BT35" i="5"/>
  <c r="BV35" i="5"/>
  <c r="BT44" i="5"/>
  <c r="BV44" i="5"/>
  <c r="BT41" i="5"/>
  <c r="BV41" i="5"/>
  <c r="BT15" i="5"/>
  <c r="BV15" i="5"/>
  <c r="BT11" i="5"/>
  <c r="CQ5" i="5" s="1" a="1"/>
  <c r="BV11" i="5"/>
  <c r="BT31" i="5"/>
  <c r="BV31" i="5"/>
  <c r="BT63" i="5"/>
  <c r="BV63" i="5"/>
  <c r="BT39" i="5"/>
  <c r="BV39" i="5"/>
  <c r="BT30" i="5"/>
  <c r="BV30" i="5"/>
  <c r="BT55" i="5"/>
  <c r="BV55" i="5"/>
  <c r="BT36" i="5"/>
  <c r="CH5" i="5" s="1" a="1"/>
  <c r="BV36" i="5"/>
  <c r="BT10" i="5"/>
  <c r="BV10" i="5"/>
  <c r="BT12" i="5"/>
  <c r="BV12" i="5"/>
  <c r="BT18" i="5"/>
  <c r="BV18" i="5"/>
  <c r="BT13" i="5"/>
  <c r="BV13" i="5"/>
  <c r="BT61" i="5"/>
  <c r="BV61" i="5"/>
  <c r="BT17" i="5"/>
  <c r="BV17" i="5"/>
  <c r="BT60" i="5"/>
  <c r="BV60" i="5"/>
  <c r="BT8" i="5"/>
  <c r="BV8" i="5"/>
  <c r="BT23" i="5"/>
  <c r="BV23" i="5"/>
  <c r="CZ5" i="5" a="1"/>
  <c r="CZ5" i="5" s="1"/>
  <c r="BT24" i="5"/>
  <c r="BT38" i="5"/>
  <c r="BT45" i="5"/>
  <c r="BT19" i="5"/>
  <c r="BT32" i="5"/>
  <c r="BT14" i="5"/>
  <c r="BT26" i="5"/>
  <c r="BT5" i="5"/>
  <c r="B78" i="5"/>
  <c r="A66" i="5" s="1"/>
  <c r="B89" i="5"/>
  <c r="A74" i="5"/>
  <c r="B72" i="5"/>
  <c r="B73" i="5"/>
  <c r="B82" i="5"/>
  <c r="A65" i="5"/>
  <c r="BY5" i="5" l="1" a="1"/>
  <c r="CF16" i="5" s="1"/>
  <c r="CO6" i="5"/>
  <c r="CO10" i="5"/>
  <c r="CO7" i="5"/>
  <c r="CO8" i="5"/>
  <c r="CO9" i="5"/>
  <c r="CO11" i="5"/>
  <c r="CO12" i="5"/>
  <c r="CO13" i="5"/>
  <c r="CH5" i="5"/>
  <c r="CO5" i="5" s="1"/>
  <c r="CX6" i="5"/>
  <c r="CX18" i="5"/>
  <c r="CX7" i="5"/>
  <c r="CX19" i="5"/>
  <c r="CX8" i="5"/>
  <c r="CX20" i="5"/>
  <c r="CX9" i="5"/>
  <c r="CX21" i="5"/>
  <c r="CX10" i="5"/>
  <c r="CX22" i="5"/>
  <c r="CX11" i="5"/>
  <c r="CX23" i="5"/>
  <c r="CX13" i="5"/>
  <c r="CX12" i="5"/>
  <c r="CX24" i="5"/>
  <c r="CX14" i="5"/>
  <c r="CX15" i="5"/>
  <c r="CX16" i="5"/>
  <c r="CX17" i="5"/>
  <c r="CX25" i="5"/>
  <c r="CQ5" i="5"/>
  <c r="CX5" i="5" s="1"/>
  <c r="B79" i="5"/>
  <c r="B84" i="5"/>
  <c r="A69" i="5"/>
  <c r="BY5" i="5" l="1"/>
  <c r="CF5" i="5" s="1"/>
  <c r="CF11" i="5"/>
  <c r="CF14" i="5"/>
  <c r="CF8" i="5"/>
  <c r="CF15" i="5"/>
  <c r="CF25" i="5"/>
  <c r="CF19" i="5"/>
  <c r="CF26" i="5"/>
  <c r="CF13" i="5"/>
  <c r="CF18" i="5"/>
  <c r="CF27" i="5"/>
  <c r="CF24" i="5"/>
  <c r="CF6" i="5"/>
  <c r="CF20" i="5"/>
  <c r="CF12" i="5"/>
  <c r="CF17" i="5"/>
  <c r="CF23" i="5"/>
  <c r="CF22" i="5"/>
  <c r="CF7" i="5"/>
  <c r="CF21" i="5"/>
  <c r="CF9" i="5"/>
  <c r="CF10" i="5"/>
  <c r="W16" i="5" l="1" a="1"/>
  <c r="W16" i="5" s="1"/>
  <c r="BD16" i="5" a="1"/>
  <c r="BD16" i="5" s="1"/>
  <c r="BC16" i="5" a="1"/>
  <c r="BC16" i="5" s="1"/>
  <c r="BB16" i="5" a="1"/>
  <c r="BB16" i="5" s="1"/>
  <c r="AZ16" i="5" a="1"/>
  <c r="AZ16" i="5" s="1"/>
  <c r="AY16" i="5" a="1"/>
  <c r="AY16" i="5" s="1"/>
  <c r="AX16" i="5" a="1"/>
  <c r="AX16" i="5" s="1"/>
  <c r="AW16" i="5" a="1"/>
  <c r="AW16" i="5" s="1"/>
  <c r="AV16" i="5" a="1"/>
  <c r="AV16" i="5" s="1"/>
  <c r="AU16" i="5" a="1"/>
  <c r="AU16" i="5" s="1"/>
  <c r="AT16" i="5" a="1"/>
  <c r="AT16" i="5" s="1"/>
  <c r="AS16" i="5" a="1"/>
  <c r="AS16" i="5" s="1"/>
  <c r="AR16" i="5" a="1"/>
  <c r="AR16" i="5" s="1"/>
  <c r="AQ16" i="5" a="1"/>
  <c r="AQ16" i="5" s="1"/>
  <c r="AP16" i="5" a="1"/>
  <c r="AP16" i="5" s="1"/>
  <c r="AO16" i="5" a="1"/>
  <c r="AO16" i="5" s="1"/>
  <c r="AN16" i="5" a="1"/>
  <c r="AN16" i="5" s="1"/>
  <c r="AM16" i="5" a="1"/>
  <c r="AM16" i="5" s="1"/>
  <c r="AL16" i="5" a="1"/>
  <c r="AL16" i="5" s="1"/>
  <c r="AK16" i="5" a="1"/>
  <c r="AK16" i="5" s="1"/>
  <c r="AJ16" i="5" a="1"/>
  <c r="AJ16" i="5" s="1"/>
  <c r="AI16" i="5" a="1"/>
  <c r="AI16" i="5" s="1"/>
  <c r="AH16" i="5" a="1"/>
  <c r="AH16" i="5" s="1"/>
  <c r="AG16" i="5" a="1"/>
  <c r="AG16" i="5" s="1"/>
  <c r="AF16" i="5" a="1"/>
  <c r="AF16" i="5" s="1"/>
  <c r="AE16" i="5" a="1"/>
  <c r="AE16" i="5" s="1"/>
  <c r="AD16" i="5" a="1"/>
  <c r="AD16" i="5" s="1"/>
  <c r="AC16" i="5" a="1"/>
  <c r="AC16" i="5" s="1"/>
  <c r="AB16" i="5" a="1"/>
  <c r="AB16" i="5" s="1"/>
  <c r="AA16" i="5" a="1"/>
  <c r="AA16" i="5" s="1"/>
  <c r="Z16" i="5" a="1"/>
  <c r="Z16" i="5" s="1"/>
  <c r="Y16" i="5" a="1"/>
  <c r="Y16" i="5" s="1"/>
  <c r="X16" i="5" a="1"/>
  <c r="X16" i="5" s="1"/>
  <c r="V16" i="5" a="1"/>
  <c r="V16" i="5" s="1"/>
  <c r="U16" i="5" a="1"/>
  <c r="U16" i="5" s="1"/>
  <c r="T16" i="5" a="1"/>
  <c r="T16" i="5" s="1"/>
  <c r="S16" i="5" a="1"/>
  <c r="S16" i="5" s="1"/>
  <c r="R16" i="5" a="1"/>
  <c r="R16" i="5" s="1"/>
  <c r="Q16" i="5" a="1"/>
  <c r="Q16" i="5" s="1"/>
  <c r="P16" i="5" a="1"/>
  <c r="P16" i="5" s="1"/>
  <c r="O16" i="5" a="1"/>
  <c r="O16" i="5" s="1"/>
  <c r="N16" i="5" a="1"/>
  <c r="N16" i="5" s="1"/>
  <c r="M16" i="5" a="1"/>
  <c r="M16" i="5" s="1"/>
  <c r="L16" i="5" a="1"/>
  <c r="L16" i="5" s="1"/>
  <c r="K16" i="5" a="1"/>
  <c r="K16" i="5" s="1"/>
  <c r="J16" i="5" a="1"/>
  <c r="J16" i="5" s="1"/>
  <c r="I16" i="5" a="1"/>
  <c r="I16" i="5" s="1"/>
  <c r="H16" i="5" a="1"/>
  <c r="H16" i="5" s="1"/>
  <c r="G16" i="5" a="1"/>
  <c r="G16" i="5" s="1"/>
  <c r="F16" i="5" a="1"/>
  <c r="F16" i="5" s="1"/>
  <c r="E16" i="5" a="1"/>
  <c r="E16" i="5" s="1"/>
  <c r="D16" i="5" a="1"/>
  <c r="D16" i="5" s="1"/>
  <c r="BK23" i="5" l="1"/>
  <c r="AY23" i="5"/>
  <c r="AM23" i="5"/>
  <c r="BA23" i="5"/>
  <c r="BJ23" i="5"/>
  <c r="AX23" i="5"/>
  <c r="AL23" i="5"/>
  <c r="BI23" i="5"/>
  <c r="AW23" i="5"/>
  <c r="BH23" i="5"/>
  <c r="AV23" i="5"/>
  <c r="BG23" i="5"/>
  <c r="AU23" i="5"/>
  <c r="BF23" i="5"/>
  <c r="AT23" i="5"/>
  <c r="BE23" i="5"/>
  <c r="AS23" i="5"/>
  <c r="AO23" i="5"/>
  <c r="BD23" i="5"/>
  <c r="AR23" i="5"/>
  <c r="BC23" i="5"/>
  <c r="AQ23" i="5"/>
  <c r="BB23" i="5"/>
  <c r="AP23" i="5"/>
  <c r="AZ23" i="5"/>
  <c r="AN23" i="5"/>
  <c r="C23" i="5"/>
  <c r="O23" i="5"/>
  <c r="AA23" i="5"/>
  <c r="S23" i="5"/>
  <c r="J23" i="5"/>
  <c r="L23" i="5"/>
  <c r="Z23" i="5"/>
  <c r="D23" i="5"/>
  <c r="P23" i="5"/>
  <c r="B23" i="5"/>
  <c r="T23" i="5"/>
  <c r="K23" i="5"/>
  <c r="E23" i="5"/>
  <c r="Q23" i="5"/>
  <c r="V23" i="5"/>
  <c r="Y23" i="5"/>
  <c r="F23" i="5"/>
  <c r="R23" i="5"/>
  <c r="U23" i="5"/>
  <c r="G23" i="5"/>
  <c r="X23" i="5"/>
  <c r="N23" i="5"/>
  <c r="H23" i="5"/>
  <c r="I23" i="5"/>
  <c r="W23" i="5"/>
  <c r="M23" i="5"/>
  <c r="AF32" i="5"/>
  <c r="AM24" i="5"/>
  <c r="AY24" i="5"/>
  <c r="BK24" i="5"/>
  <c r="BG24" i="5"/>
  <c r="BJ24" i="5"/>
  <c r="AN24" i="5"/>
  <c r="AZ24" i="5"/>
  <c r="AL24" i="5"/>
  <c r="AW24" i="5"/>
  <c r="AO24" i="5"/>
  <c r="BA24" i="5"/>
  <c r="AT24" i="5"/>
  <c r="AX24" i="5"/>
  <c r="AP24" i="5"/>
  <c r="BB24" i="5"/>
  <c r="BF24" i="5"/>
  <c r="BI24" i="5"/>
  <c r="AQ24" i="5"/>
  <c r="BC24" i="5"/>
  <c r="BH24" i="5"/>
  <c r="AR24" i="5"/>
  <c r="BD24" i="5"/>
  <c r="AV24" i="5"/>
  <c r="AS24" i="5"/>
  <c r="BE24" i="5"/>
  <c r="AU24" i="5"/>
  <c r="C24" i="5"/>
  <c r="O24" i="5"/>
  <c r="AA24" i="5"/>
  <c r="D24" i="5"/>
  <c r="P24" i="5"/>
  <c r="B24" i="5"/>
  <c r="E24" i="5"/>
  <c r="Q24" i="5"/>
  <c r="F24" i="5"/>
  <c r="R24" i="5"/>
  <c r="Z24" i="5"/>
  <c r="G24" i="5"/>
  <c r="S24" i="5"/>
  <c r="H24" i="5"/>
  <c r="T24" i="5"/>
  <c r="I24" i="5"/>
  <c r="U24" i="5"/>
  <c r="J24" i="5"/>
  <c r="V24" i="5"/>
  <c r="K24" i="5"/>
  <c r="W24" i="5"/>
  <c r="L24" i="5"/>
  <c r="X24" i="5"/>
  <c r="M24" i="5"/>
  <c r="Y24" i="5"/>
  <c r="N24" i="5"/>
  <c r="BE36" i="5"/>
  <c r="AF36" i="5"/>
  <c r="E36" i="5"/>
  <c r="BE35" i="5"/>
  <c r="BD35" i="5" s="1"/>
  <c r="AF35" i="5"/>
  <c r="AE35" i="5" s="1"/>
  <c r="E35" i="5"/>
  <c r="E47" i="5"/>
  <c r="E48" i="5"/>
  <c r="E59" i="5"/>
  <c r="E60" i="5"/>
  <c r="C53" i="5" l="1"/>
  <c r="O53" i="5"/>
  <c r="AA53" i="5"/>
  <c r="AM53" i="5"/>
  <c r="AY53" i="5"/>
  <c r="AI53" i="5"/>
  <c r="L53" i="5"/>
  <c r="BI53" i="5"/>
  <c r="Z53" i="5"/>
  <c r="D53" i="5"/>
  <c r="P53" i="5"/>
  <c r="AB53" i="5"/>
  <c r="AN53" i="5"/>
  <c r="AZ53" i="5"/>
  <c r="AV53" i="5"/>
  <c r="Y53" i="5"/>
  <c r="B53" i="5"/>
  <c r="E53" i="5"/>
  <c r="Q53" i="5"/>
  <c r="AC53" i="5"/>
  <c r="AO53" i="5"/>
  <c r="BA53" i="5"/>
  <c r="BB53" i="5"/>
  <c r="BG53" i="5"/>
  <c r="AJ53" i="5"/>
  <c r="AW53" i="5"/>
  <c r="F53" i="5"/>
  <c r="R53" i="5"/>
  <c r="AD53" i="5"/>
  <c r="AP53" i="5"/>
  <c r="X53" i="5"/>
  <c r="G53" i="5"/>
  <c r="S53" i="5"/>
  <c r="AE53" i="5"/>
  <c r="AQ53" i="5"/>
  <c r="BC53" i="5"/>
  <c r="W53" i="5"/>
  <c r="M53" i="5"/>
  <c r="H53" i="5"/>
  <c r="T53" i="5"/>
  <c r="AF53" i="5"/>
  <c r="AR53" i="5"/>
  <c r="BD53" i="5"/>
  <c r="I53" i="5"/>
  <c r="U53" i="5"/>
  <c r="AG53" i="5"/>
  <c r="AS53" i="5"/>
  <c r="BE53" i="5"/>
  <c r="V53" i="5"/>
  <c r="AU53" i="5"/>
  <c r="AL53" i="5"/>
  <c r="J53" i="5"/>
  <c r="AH53" i="5"/>
  <c r="AT53" i="5"/>
  <c r="BF53" i="5"/>
  <c r="BH53" i="5"/>
  <c r="AK53" i="5"/>
  <c r="AX53" i="5"/>
  <c r="K53" i="5"/>
  <c r="N53" i="5"/>
  <c r="D54" i="5"/>
  <c r="P54" i="5"/>
  <c r="AB54" i="5"/>
  <c r="AN54" i="5"/>
  <c r="AZ54" i="5"/>
  <c r="S54" i="5"/>
  <c r="AG54" i="5"/>
  <c r="E54" i="5"/>
  <c r="Q54" i="5"/>
  <c r="AC54" i="5"/>
  <c r="AO54" i="5"/>
  <c r="BA54" i="5"/>
  <c r="G54" i="5"/>
  <c r="BE54" i="5"/>
  <c r="BG54" i="5"/>
  <c r="L54" i="5"/>
  <c r="AV54" i="5"/>
  <c r="C54" i="5"/>
  <c r="F54" i="5"/>
  <c r="R54" i="5"/>
  <c r="AD54" i="5"/>
  <c r="AP54" i="5"/>
  <c r="BB54" i="5"/>
  <c r="AQ54" i="5"/>
  <c r="U54" i="5"/>
  <c r="AU54" i="5"/>
  <c r="BH54" i="5"/>
  <c r="B54" i="5"/>
  <c r="AE54" i="5"/>
  <c r="BC54" i="5"/>
  <c r="O54" i="5"/>
  <c r="H54" i="5"/>
  <c r="T54" i="5"/>
  <c r="AF54" i="5"/>
  <c r="AR54" i="5"/>
  <c r="BD54" i="5"/>
  <c r="Y54" i="5"/>
  <c r="AA54" i="5"/>
  <c r="I54" i="5"/>
  <c r="AS54" i="5"/>
  <c r="AK54" i="5"/>
  <c r="Z54" i="5"/>
  <c r="AM54" i="5"/>
  <c r="J54" i="5"/>
  <c r="V54" i="5"/>
  <c r="AH54" i="5"/>
  <c r="AT54" i="5"/>
  <c r="BF54" i="5"/>
  <c r="K54" i="5"/>
  <c r="AI54" i="5"/>
  <c r="AJ54" i="5"/>
  <c r="M54" i="5"/>
  <c r="BI54" i="5"/>
  <c r="N54" i="5"/>
  <c r="AX54" i="5"/>
  <c r="W54" i="5"/>
  <c r="X54" i="5"/>
  <c r="AW54" i="5"/>
  <c r="AL54" i="5"/>
  <c r="AY54" i="5"/>
  <c r="D42" i="5"/>
  <c r="P42" i="5"/>
  <c r="AB42" i="5"/>
  <c r="AN42" i="5"/>
  <c r="AZ42" i="5"/>
  <c r="BE42" i="5"/>
  <c r="AU42" i="5"/>
  <c r="L42" i="5"/>
  <c r="AJ42" i="5"/>
  <c r="O42" i="5"/>
  <c r="E42" i="5"/>
  <c r="Q42" i="5"/>
  <c r="AC42" i="5"/>
  <c r="AO42" i="5"/>
  <c r="BA42" i="5"/>
  <c r="I42" i="5"/>
  <c r="U42" i="5"/>
  <c r="AI42" i="5"/>
  <c r="BH42" i="5"/>
  <c r="BI42" i="5"/>
  <c r="N42" i="5"/>
  <c r="F42" i="5"/>
  <c r="R42" i="5"/>
  <c r="AD42" i="5"/>
  <c r="AP42" i="5"/>
  <c r="BB42" i="5"/>
  <c r="AS42" i="5"/>
  <c r="M42" i="5"/>
  <c r="AX42" i="5"/>
  <c r="AA42" i="5"/>
  <c r="G42" i="5"/>
  <c r="S42" i="5"/>
  <c r="AE42" i="5"/>
  <c r="AQ42" i="5"/>
  <c r="BC42" i="5"/>
  <c r="H42" i="5"/>
  <c r="T42" i="5"/>
  <c r="AF42" i="5"/>
  <c r="AR42" i="5"/>
  <c r="BD42" i="5"/>
  <c r="AG42" i="5"/>
  <c r="Y42" i="5"/>
  <c r="AL42" i="5"/>
  <c r="C42" i="5"/>
  <c r="J42" i="5"/>
  <c r="V42" i="5"/>
  <c r="AH42" i="5"/>
  <c r="AT42" i="5"/>
  <c r="BF42" i="5"/>
  <c r="K42" i="5"/>
  <c r="W42" i="5"/>
  <c r="BG42" i="5"/>
  <c r="X42" i="5"/>
  <c r="AV42" i="5"/>
  <c r="AW42" i="5"/>
  <c r="Z42" i="5"/>
  <c r="AM42" i="5"/>
  <c r="AK42" i="5"/>
  <c r="B42" i="5"/>
  <c r="AY42" i="5"/>
  <c r="D35" i="5"/>
  <c r="C41" i="5"/>
  <c r="O41" i="5"/>
  <c r="AA41" i="5"/>
  <c r="AM41" i="5"/>
  <c r="AY41" i="5"/>
  <c r="BD41" i="5"/>
  <c r="X41" i="5"/>
  <c r="AK41" i="5"/>
  <c r="D41" i="5"/>
  <c r="P41" i="5"/>
  <c r="AB41" i="5"/>
  <c r="AN41" i="5"/>
  <c r="AZ41" i="5"/>
  <c r="BG41" i="5"/>
  <c r="AV41" i="5"/>
  <c r="Z41" i="5"/>
  <c r="E41" i="5"/>
  <c r="Q41" i="5"/>
  <c r="AC41" i="5"/>
  <c r="AO41" i="5"/>
  <c r="BA41" i="5"/>
  <c r="T41" i="5"/>
  <c r="K41" i="5"/>
  <c r="M41" i="5"/>
  <c r="F41" i="5"/>
  <c r="R41" i="5"/>
  <c r="AD41" i="5"/>
  <c r="AP41" i="5"/>
  <c r="BB41" i="5"/>
  <c r="AR41" i="5"/>
  <c r="W41" i="5"/>
  <c r="BH41" i="5"/>
  <c r="Y41" i="5"/>
  <c r="AX41" i="5"/>
  <c r="B41" i="5"/>
  <c r="G41" i="5"/>
  <c r="S41" i="5"/>
  <c r="AE41" i="5"/>
  <c r="AQ41" i="5"/>
  <c r="BC41" i="5"/>
  <c r="AF41" i="5"/>
  <c r="AI41" i="5"/>
  <c r="AJ41" i="5"/>
  <c r="AW41" i="5"/>
  <c r="H41" i="5"/>
  <c r="I41" i="5"/>
  <c r="U41" i="5"/>
  <c r="AG41" i="5"/>
  <c r="AS41" i="5"/>
  <c r="BE41" i="5"/>
  <c r="J41" i="5"/>
  <c r="AH41" i="5"/>
  <c r="AT41" i="5"/>
  <c r="BF41" i="5"/>
  <c r="L41" i="5"/>
  <c r="AL41" i="5"/>
  <c r="V41" i="5"/>
  <c r="BI41" i="5"/>
  <c r="AU41" i="5"/>
  <c r="N41" i="5"/>
  <c r="BE37" i="5"/>
  <c r="B37" i="5"/>
  <c r="AF37" i="5"/>
  <c r="AE36" i="5"/>
  <c r="D36" i="5"/>
  <c r="BD36" i="5"/>
  <c r="D47" i="5"/>
  <c r="AY50" i="5" l="1"/>
  <c r="D48" i="5" l="1"/>
  <c r="D60" i="5"/>
  <c r="B49" i="5" l="1"/>
  <c r="D59" i="5" l="1"/>
  <c r="B6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<sst xmlns="http://schemas.openxmlformats.org/spreadsheetml/2006/main" count="2074" uniqueCount="719">
  <si>
    <t>聲母與韻母表</t>
    <phoneticPr fontId="7" type="noConversion"/>
  </si>
  <si>
    <t>字典編碼</t>
  </si>
  <si>
    <t>方音符號</t>
  </si>
  <si>
    <t>鍵盤按鍵</t>
  </si>
  <si>
    <t>序號</t>
  </si>
  <si>
    <t>注音符號</t>
  </si>
  <si>
    <t>字典編碼</t>
    <phoneticPr fontId="7" type="noConversion"/>
  </si>
  <si>
    <t>鍵盤按鍵</t>
    <phoneticPr fontId="7" type="noConversion"/>
  </si>
  <si>
    <t>ㄅ</t>
  </si>
  <si>
    <t>p</t>
    <phoneticPr fontId="7" type="noConversion"/>
  </si>
  <si>
    <t>ㄆ</t>
  </si>
  <si>
    <t>N</t>
    <phoneticPr fontId="7" type="noConversion"/>
  </si>
  <si>
    <t>ㆠ</t>
  </si>
  <si>
    <t>b</t>
    <phoneticPr fontId="7" type="noConversion"/>
  </si>
  <si>
    <t>ㄉ</t>
  </si>
  <si>
    <t>t</t>
  </si>
  <si>
    <t>ㄊ</t>
  </si>
  <si>
    <t>th</t>
  </si>
  <si>
    <t>ㄋ</t>
  </si>
  <si>
    <t>n</t>
  </si>
  <si>
    <t>ㄍ</t>
  </si>
  <si>
    <t>k</t>
  </si>
  <si>
    <t>ㄎ</t>
  </si>
  <si>
    <t>ㆣ</t>
  </si>
  <si>
    <t>g</t>
    <phoneticPr fontId="7" type="noConversion"/>
  </si>
  <si>
    <t>ㄗ</t>
  </si>
  <si>
    <t>ts</t>
  </si>
  <si>
    <t>ㄘ</t>
  </si>
  <si>
    <t>ㆡ</t>
  </si>
  <si>
    <t>j</t>
    <phoneticPr fontId="7" type="noConversion"/>
  </si>
  <si>
    <t>ㄙ</t>
  </si>
  <si>
    <t>s</t>
    <phoneticPr fontId="7" type="noConversion"/>
  </si>
  <si>
    <t>ㄏ</t>
  </si>
  <si>
    <t>h</t>
    <phoneticPr fontId="7" type="noConversion"/>
  </si>
  <si>
    <t>ㄧ</t>
  </si>
  <si>
    <t>i</t>
    <phoneticPr fontId="7" type="noConversion"/>
  </si>
  <si>
    <t>ㄨ</t>
  </si>
  <si>
    <t>u</t>
    <phoneticPr fontId="7" type="noConversion"/>
  </si>
  <si>
    <t>ㄚ</t>
  </si>
  <si>
    <t>a</t>
    <phoneticPr fontId="7" type="noConversion"/>
  </si>
  <si>
    <t>ㆤ</t>
  </si>
  <si>
    <t>e</t>
    <phoneticPr fontId="7" type="noConversion"/>
  </si>
  <si>
    <t>o</t>
  </si>
  <si>
    <t>o</t>
    <phoneticPr fontId="7" type="noConversion"/>
  </si>
  <si>
    <t>ㆦ</t>
  </si>
  <si>
    <t>oo</t>
    <phoneticPr fontId="7" type="noConversion"/>
  </si>
  <si>
    <t>O</t>
    <phoneticPr fontId="7" type="noConversion"/>
  </si>
  <si>
    <t>ai</t>
    <phoneticPr fontId="7" type="noConversion"/>
  </si>
  <si>
    <t>ㄠ</t>
  </si>
  <si>
    <t>au</t>
    <phoneticPr fontId="7" type="noConversion"/>
  </si>
  <si>
    <t>ㆭ</t>
  </si>
  <si>
    <t>-ng</t>
    <phoneticPr fontId="7" type="noConversion"/>
  </si>
  <si>
    <t>ㄣ</t>
  </si>
  <si>
    <t>-n</t>
    <phoneticPr fontId="7" type="noConversion"/>
  </si>
  <si>
    <t>-m</t>
    <phoneticPr fontId="7" type="noConversion"/>
  </si>
  <si>
    <t>-</t>
    <phoneticPr fontId="7" type="noConversion"/>
  </si>
  <si>
    <t>ㄇ</t>
  </si>
  <si>
    <t>m</t>
    <phoneticPr fontId="7" type="noConversion"/>
  </si>
  <si>
    <t>ㄌ</t>
  </si>
  <si>
    <t>l</t>
  </si>
  <si>
    <t>ㄫ</t>
  </si>
  <si>
    <t>ㄐ</t>
  </si>
  <si>
    <t>tsi</t>
    <phoneticPr fontId="7" type="noConversion"/>
  </si>
  <si>
    <t>ㄑ</t>
  </si>
  <si>
    <t>si</t>
    <phoneticPr fontId="7" type="noConversion"/>
  </si>
  <si>
    <t>ㄤ</t>
  </si>
  <si>
    <t>ang</t>
    <phoneticPr fontId="7" type="noConversion"/>
  </si>
  <si>
    <t>ㄢ</t>
  </si>
  <si>
    <t>an</t>
    <phoneticPr fontId="7" type="noConversion"/>
  </si>
  <si>
    <t>ㆰ</t>
  </si>
  <si>
    <t>am</t>
    <phoneticPr fontId="7" type="noConversion"/>
  </si>
  <si>
    <t>ㆲ</t>
  </si>
  <si>
    <t>ong</t>
    <phoneticPr fontId="7" type="noConversion"/>
  </si>
  <si>
    <t>ˋ</t>
  </si>
  <si>
    <t>˪</t>
  </si>
  <si>
    <t>ˊ</t>
  </si>
  <si>
    <t>˫</t>
  </si>
  <si>
    <t>˙</t>
  </si>
  <si>
    <t>ㆢ</t>
  </si>
  <si>
    <t>ㆪ</t>
  </si>
  <si>
    <t>ㆫ</t>
  </si>
  <si>
    <t>ㆩ</t>
  </si>
  <si>
    <t>ㆮ</t>
  </si>
  <si>
    <t>ㆥ</t>
  </si>
  <si>
    <t>ㆧ</t>
  </si>
  <si>
    <t>ㆯ</t>
  </si>
  <si>
    <t>ㆱ</t>
  </si>
  <si>
    <t>om</t>
    <phoneticPr fontId="7" type="noConversion"/>
  </si>
  <si>
    <t>ㄥ</t>
  </si>
  <si>
    <t>ㆴ</t>
  </si>
  <si>
    <t>ㆵ</t>
  </si>
  <si>
    <t>ㆻ</t>
  </si>
  <si>
    <t>ㆷ</t>
  </si>
  <si>
    <t>ng</t>
  </si>
  <si>
    <t>G</t>
  </si>
  <si>
    <t>m</t>
  </si>
  <si>
    <t>B</t>
  </si>
  <si>
    <t>ㆬ</t>
  </si>
  <si>
    <t>iong</t>
  </si>
  <si>
    <t>ㄧㆲ</t>
  </si>
  <si>
    <t>ong</t>
  </si>
  <si>
    <t>ang</t>
  </si>
  <si>
    <t>7</t>
  </si>
  <si>
    <t>5</t>
  </si>
  <si>
    <t>6</t>
  </si>
  <si>
    <t>an</t>
  </si>
  <si>
    <t>z</t>
  </si>
  <si>
    <t>g</t>
  </si>
  <si>
    <t>D</t>
  </si>
  <si>
    <t>b</t>
  </si>
  <si>
    <t>3</t>
  </si>
  <si>
    <t>4</t>
  </si>
  <si>
    <t>G</t>
    <phoneticPr fontId="7" type="noConversion"/>
  </si>
  <si>
    <t>u</t>
  </si>
  <si>
    <t>-</t>
  </si>
  <si>
    <t>/</t>
  </si>
  <si>
    <t>om</t>
  </si>
  <si>
    <t>am</t>
  </si>
  <si>
    <t>;</t>
  </si>
  <si>
    <t>p</t>
  </si>
  <si>
    <t>B</t>
    <phoneticPr fontId="7" type="noConversion"/>
  </si>
  <si>
    <t>0</t>
  </si>
  <si>
    <t>&lt;</t>
  </si>
  <si>
    <t>,</t>
  </si>
  <si>
    <t>U</t>
    <phoneticPr fontId="7" type="noConversion"/>
  </si>
  <si>
    <t>L</t>
  </si>
  <si>
    <t>I</t>
    <phoneticPr fontId="7" type="noConversion"/>
  </si>
  <si>
    <t>(</t>
  </si>
  <si>
    <t>ㄞ</t>
  </si>
  <si>
    <t>Nu</t>
    <phoneticPr fontId="7" type="noConversion"/>
  </si>
  <si>
    <t>J</t>
  </si>
  <si>
    <t>ionn</t>
  </si>
  <si>
    <t>ㄧㆧ</t>
  </si>
  <si>
    <t>Ni</t>
    <phoneticPr fontId="7" type="noConversion"/>
  </si>
  <si>
    <t>j</t>
  </si>
  <si>
    <t>U</t>
  </si>
  <si>
    <t>Ne</t>
    <phoneticPr fontId="7" type="noConversion"/>
  </si>
  <si>
    <t>9</t>
  </si>
  <si>
    <t>aunn</t>
  </si>
  <si>
    <t>O</t>
  </si>
  <si>
    <t>ainn</t>
  </si>
  <si>
    <t>enn</t>
  </si>
  <si>
    <t>onn</t>
  </si>
  <si>
    <t>I</t>
  </si>
  <si>
    <t>ann</t>
  </si>
  <si>
    <t>Na</t>
    <phoneticPr fontId="7" type="noConversion"/>
  </si>
  <si>
    <t>i</t>
  </si>
  <si>
    <t>*</t>
  </si>
  <si>
    <t>r</t>
  </si>
  <si>
    <t>ㄒ</t>
  </si>
  <si>
    <t>C</t>
    <phoneticPr fontId="7" type="noConversion"/>
  </si>
  <si>
    <t>c</t>
    <phoneticPr fontId="7" type="noConversion"/>
  </si>
  <si>
    <t>c</t>
  </si>
  <si>
    <t>io</t>
  </si>
  <si>
    <t>ㄧㄜㆷ</t>
  </si>
  <si>
    <t>ㄧㄜ</t>
  </si>
  <si>
    <t>d</t>
  </si>
  <si>
    <t>K</t>
    <phoneticPr fontId="7" type="noConversion"/>
  </si>
  <si>
    <t>k</t>
    <phoneticPr fontId="7" type="noConversion"/>
  </si>
  <si>
    <t>E</t>
  </si>
  <si>
    <t>au</t>
  </si>
  <si>
    <t>d</t>
    <phoneticPr fontId="7" type="noConversion"/>
  </si>
  <si>
    <t>e</t>
  </si>
  <si>
    <t>ai</t>
  </si>
  <si>
    <t>x</t>
  </si>
  <si>
    <t>ㆦㆷ</t>
  </si>
  <si>
    <t>T</t>
    <phoneticPr fontId="7" type="noConversion"/>
  </si>
  <si>
    <t>s</t>
  </si>
  <si>
    <t>t</t>
    <phoneticPr fontId="7" type="noConversion"/>
  </si>
  <si>
    <t>w</t>
  </si>
  <si>
    <t>按鍵字元</t>
  </si>
  <si>
    <t>oo</t>
  </si>
  <si>
    <t>2</t>
  </si>
  <si>
    <t>ã</t>
    <phoneticPr fontId="7" type="noConversion"/>
  </si>
  <si>
    <t>a</t>
  </si>
  <si>
    <t>q</t>
  </si>
  <si>
    <t>台羅拼音</t>
  </si>
  <si>
    <t>P</t>
    <phoneticPr fontId="7" type="noConversion"/>
  </si>
  <si>
    <t>1</t>
  </si>
  <si>
    <t>國際音標</t>
    <phoneticPr fontId="7" type="noConversion"/>
  </si>
  <si>
    <t xml:space="preserve"> </t>
    <phoneticPr fontId="7" type="noConversion"/>
  </si>
  <si>
    <t>z</t>
    <phoneticPr fontId="7" type="noConversion"/>
  </si>
  <si>
    <t>Z</t>
    <phoneticPr fontId="7" type="noConversion"/>
  </si>
  <si>
    <t>J</t>
    <phoneticPr fontId="7" type="noConversion"/>
  </si>
  <si>
    <t>S</t>
    <phoneticPr fontId="7" type="noConversion"/>
  </si>
  <si>
    <t>y</t>
    <phoneticPr fontId="7" type="noConversion"/>
  </si>
  <si>
    <t>n</t>
    <phoneticPr fontId="7" type="noConversion"/>
  </si>
  <si>
    <t>Y</t>
    <phoneticPr fontId="7" type="noConversion"/>
  </si>
  <si>
    <t>H</t>
    <phoneticPr fontId="7" type="noConversion"/>
  </si>
  <si>
    <t>注音符號</t>
    <phoneticPr fontId="7" type="noConversion"/>
  </si>
  <si>
    <t>方音符號</t>
    <phoneticPr fontId="7" type="noConversion"/>
  </si>
  <si>
    <t>台語音標</t>
    <phoneticPr fontId="7" type="noConversion"/>
  </si>
  <si>
    <t>!</t>
    <phoneticPr fontId="7" type="noConversion"/>
  </si>
  <si>
    <t>ph</t>
  </si>
  <si>
    <t>!</t>
  </si>
  <si>
    <t>q</t>
    <phoneticPr fontId="7" type="noConversion"/>
  </si>
  <si>
    <t>Q</t>
    <phoneticPr fontId="7" type="noConversion"/>
  </si>
  <si>
    <t>P</t>
  </si>
  <si>
    <t>A</t>
    <phoneticPr fontId="7" type="noConversion"/>
  </si>
  <si>
    <t>@</t>
    <phoneticPr fontId="7" type="noConversion"/>
  </si>
  <si>
    <t>T</t>
  </si>
  <si>
    <t>w</t>
    <phoneticPr fontId="7" type="noConversion"/>
  </si>
  <si>
    <t>W</t>
    <phoneticPr fontId="7" type="noConversion"/>
  </si>
  <si>
    <t>x</t>
    <phoneticPr fontId="7" type="noConversion"/>
  </si>
  <si>
    <t>X</t>
    <phoneticPr fontId="7" type="noConversion"/>
  </si>
  <si>
    <t>#</t>
    <phoneticPr fontId="7" type="noConversion"/>
  </si>
  <si>
    <t>kh</t>
  </si>
  <si>
    <t>E</t>
    <phoneticPr fontId="7" type="noConversion"/>
  </si>
  <si>
    <t>h</t>
  </si>
  <si>
    <t>K</t>
  </si>
  <si>
    <t>D</t>
    <phoneticPr fontId="7" type="noConversion"/>
  </si>
  <si>
    <t>ci</t>
  </si>
  <si>
    <t>chi</t>
  </si>
  <si>
    <t>$</t>
    <phoneticPr fontId="7" type="noConversion"/>
  </si>
  <si>
    <t>si</t>
  </si>
  <si>
    <t>r</t>
    <phoneticPr fontId="7" type="noConversion"/>
  </si>
  <si>
    <t>R</t>
    <phoneticPr fontId="7" type="noConversion"/>
  </si>
  <si>
    <t>f</t>
    <phoneticPr fontId="7" type="noConversion"/>
  </si>
  <si>
    <t>F</t>
    <phoneticPr fontId="7" type="noConversion"/>
  </si>
  <si>
    <t>ㆡ</t>
    <phoneticPr fontId="7" type="noConversion"/>
  </si>
  <si>
    <t>v</t>
    <phoneticPr fontId="7" type="noConversion"/>
  </si>
  <si>
    <t>V</t>
    <phoneticPr fontId="7" type="noConversion"/>
  </si>
  <si>
    <t>ji</t>
  </si>
  <si>
    <t>Y</t>
  </si>
  <si>
    <t>Z</t>
  </si>
  <si>
    <t>%</t>
    <phoneticPr fontId="7" type="noConversion"/>
  </si>
  <si>
    <t>H</t>
  </si>
  <si>
    <t>C</t>
  </si>
  <si>
    <t>S</t>
  </si>
  <si>
    <t>ch</t>
  </si>
  <si>
    <t>ㄧ</t>
    <phoneticPr fontId="7" type="noConversion"/>
  </si>
  <si>
    <t>^</t>
    <phoneticPr fontId="7" type="noConversion"/>
  </si>
  <si>
    <t>&amp;</t>
    <phoneticPr fontId="7" type="noConversion"/>
  </si>
  <si>
    <t>ㄜ</t>
  </si>
  <si>
    <t>M</t>
    <phoneticPr fontId="7" type="noConversion"/>
  </si>
  <si>
    <t>*</t>
    <phoneticPr fontId="7" type="noConversion"/>
  </si>
  <si>
    <t>Noo</t>
    <phoneticPr fontId="7" type="noConversion"/>
  </si>
  <si>
    <t>(</t>
    <phoneticPr fontId="7" type="noConversion"/>
  </si>
  <si>
    <t>Nai</t>
    <phoneticPr fontId="7" type="noConversion"/>
  </si>
  <si>
    <t>-ng</t>
  </si>
  <si>
    <t>l</t>
    <phoneticPr fontId="7" type="noConversion"/>
  </si>
  <si>
    <t>L</t>
    <phoneticPr fontId="7" type="noConversion"/>
  </si>
  <si>
    <t>Nau</t>
    <phoneticPr fontId="7" type="noConversion"/>
  </si>
  <si>
    <t>.</t>
    <phoneticPr fontId="7" type="noConversion"/>
  </si>
  <si>
    <t>}</t>
    <phoneticPr fontId="7" type="noConversion"/>
  </si>
  <si>
    <t>)</t>
    <phoneticPr fontId="7" type="noConversion"/>
  </si>
  <si>
    <t>{</t>
    <phoneticPr fontId="7" type="noConversion"/>
  </si>
  <si>
    <t>:</t>
    <phoneticPr fontId="7" type="noConversion"/>
  </si>
  <si>
    <t>]</t>
    <phoneticPr fontId="7" type="noConversion"/>
  </si>
  <si>
    <t>;</t>
    <phoneticPr fontId="7" type="noConversion"/>
  </si>
  <si>
    <t>inn</t>
  </si>
  <si>
    <t>[</t>
    <phoneticPr fontId="7" type="noConversion"/>
  </si>
  <si>
    <t>/</t>
    <phoneticPr fontId="7" type="noConversion"/>
  </si>
  <si>
    <t>?</t>
    <phoneticPr fontId="7" type="noConversion"/>
  </si>
  <si>
    <t>unn</t>
  </si>
  <si>
    <t>ir</t>
  </si>
  <si>
    <t>_</t>
    <phoneticPr fontId="7" type="noConversion"/>
  </si>
  <si>
    <t>M</t>
  </si>
  <si>
    <t>'</t>
    <phoneticPr fontId="7" type="noConversion"/>
  </si>
  <si>
    <t>"</t>
    <phoneticPr fontId="7" type="noConversion"/>
  </si>
  <si>
    <t>=</t>
    <phoneticPr fontId="7" type="noConversion"/>
  </si>
  <si>
    <t>+</t>
    <phoneticPr fontId="7" type="noConversion"/>
  </si>
  <si>
    <t>ˉ</t>
    <phoneticPr fontId="7" type="noConversion"/>
  </si>
  <si>
    <t>ˉ</t>
  </si>
  <si>
    <t>ˇ</t>
    <phoneticPr fontId="7" type="noConversion"/>
  </si>
  <si>
    <t>1 !</t>
  </si>
  <si>
    <t>2 @</t>
  </si>
  <si>
    <t>3 #</t>
  </si>
  <si>
    <t>4 $</t>
  </si>
  <si>
    <t>6 ^</t>
  </si>
  <si>
    <t>7 &amp;</t>
  </si>
  <si>
    <t>8 *</t>
  </si>
  <si>
    <t>9 (</t>
  </si>
  <si>
    <t>0 )</t>
  </si>
  <si>
    <t>- _</t>
  </si>
  <si>
    <t>= +</t>
  </si>
  <si>
    <t>對映總表</t>
  </si>
  <si>
    <t>陰去</t>
  </si>
  <si>
    <t>上声</t>
  </si>
  <si>
    <t>陽去</t>
  </si>
  <si>
    <t>陽平</t>
  </si>
  <si>
    <t>·</t>
  </si>
  <si>
    <t>Q</t>
  </si>
  <si>
    <t>W</t>
  </si>
  <si>
    <t>R</t>
  </si>
  <si>
    <t>[ {</t>
  </si>
  <si>
    <t>] }</t>
  </si>
  <si>
    <t>\ |</t>
  </si>
  <si>
    <t>F</t>
  </si>
  <si>
    <t>; :</t>
  </si>
  <si>
    <t>' "</t>
  </si>
  <si>
    <t>X</t>
  </si>
  <si>
    <t>V</t>
  </si>
  <si>
    <t>N</t>
  </si>
  <si>
    <t>, &lt;</t>
  </si>
  <si>
    <t>. &gt;</t>
  </si>
  <si>
    <t>/ ?</t>
  </si>
  <si>
    <r>
      <rPr>
        <sz val="28"/>
        <color theme="8"/>
        <rFont val="Microsoft JhengHei"/>
        <family val="2"/>
        <charset val="136"/>
      </rPr>
      <t>拚音碼與鍵盤對映 (</t>
    </r>
    <r>
      <rPr>
        <sz val="28"/>
        <color theme="8"/>
        <rFont val="Calibri"/>
        <family val="2"/>
      </rPr>
      <t>speller)</t>
    </r>
    <phoneticPr fontId="7" type="noConversion"/>
  </si>
  <si>
    <r>
      <t xml:space="preserve">    # </t>
    </r>
    <r>
      <rPr>
        <sz val="18"/>
        <color rgb="FF000000"/>
        <rFont val="SimSun"/>
        <charset val="134"/>
      </rPr>
      <t>設定「字典編碼」與「鍵盤位置」的對映關係：字典檔案中，漢字的</t>
    </r>
    <r>
      <rPr>
        <sz val="18"/>
        <color rgb="FF000000"/>
        <rFont val="BopomofoRuby1909-v1"/>
        <family val="3"/>
        <charset val="136"/>
      </rPr>
      <t xml:space="preserve"> '拼音字母' ，轉成 '字典編碼' </t>
    </r>
    <r>
      <rPr>
        <sz val="18"/>
        <color rgb="FF000000"/>
        <rFont val="SimSun"/>
        <charset val="134"/>
      </rPr>
      <t>，並與</t>
    </r>
    <r>
      <rPr>
        <sz val="18"/>
        <color rgb="FF000000"/>
        <rFont val="BopomofoRuby1909-v1"/>
        <family val="3"/>
        <charset val="136"/>
      </rPr>
      <t>‘鍵盤位置’建立對映關聯</t>
    </r>
    <phoneticPr fontId="7" type="noConversion"/>
  </si>
  <si>
    <r>
      <rPr>
        <sz val="28"/>
        <color theme="8"/>
        <rFont val="Microsoft JhengHei"/>
        <family val="2"/>
        <charset val="136"/>
      </rPr>
      <t>鍵盤與方音符號對映</t>
    </r>
    <r>
      <rPr>
        <sz val="28"/>
        <color theme="8"/>
        <rFont val="Noto Serif TC Bold"/>
        <family val="1"/>
        <charset val="136"/>
      </rPr>
      <t xml:space="preserve"> (</t>
    </r>
    <r>
      <rPr>
        <sz val="28"/>
        <color theme="8"/>
        <rFont val="Calibri"/>
        <family val="2"/>
      </rPr>
      <t>preedit_format)</t>
    </r>
    <phoneticPr fontId="7" type="noConversion"/>
  </si>
  <si>
    <r>
      <t xml:space="preserve">  # </t>
    </r>
    <r>
      <rPr>
        <sz val="18"/>
        <color rgb="FF000000"/>
        <rFont val="Microsoft JhengHei"/>
        <family val="2"/>
        <charset val="136"/>
      </rPr>
      <t>設定「鍵盤位置」與「注音符號」的對映關係：</t>
    </r>
    <r>
      <rPr>
        <sz val="18"/>
        <color rgb="FF000000"/>
        <rFont val="Arial"/>
        <family val="2"/>
      </rPr>
      <t xml:space="preserve">RIME </t>
    </r>
    <r>
      <rPr>
        <sz val="18"/>
        <color rgb="FF000000"/>
        <rFont val="Microsoft JhengHei"/>
        <family val="2"/>
        <charset val="136"/>
      </rPr>
      <t>輸入法平台於接收到「鍵盤按鍵」輸入，依此規範於螢幕顯示</t>
    </r>
    <r>
      <rPr>
        <sz val="18"/>
        <color rgb="FF000000"/>
        <rFont val="SimSun"/>
        <charset val="134"/>
      </rPr>
      <t>ㄅㄆㄇ注音符號</t>
    </r>
    <phoneticPr fontId="7" type="noConversion"/>
  </si>
  <si>
    <t>候選字清單漢字與注音符號的對映 (comment_format)</t>
    <phoneticPr fontId="7" type="noConversion"/>
  </si>
  <si>
    <t xml:space="preserve">  # 設定「候選字清單」中，字典漢字與方音符號的對映</t>
  </si>
  <si>
    <t>y</t>
  </si>
  <si>
    <t>8</t>
  </si>
  <si>
    <t>ㆨ</t>
  </si>
  <si>
    <t>.</t>
  </si>
  <si>
    <t>ng-</t>
    <phoneticPr fontId="7" type="noConversion"/>
  </si>
  <si>
    <t>f</t>
  </si>
  <si>
    <t>v</t>
  </si>
  <si>
    <t>音標字母</t>
    <phoneticPr fontId="7" type="noConversion"/>
  </si>
  <si>
    <t>-m</t>
  </si>
  <si>
    <t>[48]</t>
  </si>
  <si>
    <t>[48]</t>
    <phoneticPr fontId="7" type="noConversion"/>
  </si>
  <si>
    <t>A</t>
  </si>
  <si>
    <t>ng-</t>
  </si>
  <si>
    <t>@</t>
  </si>
  <si>
    <t>]</t>
  </si>
  <si>
    <t>使用按鍵設定</t>
    <phoneticPr fontId="7" type="noConversion"/>
  </si>
  <si>
    <t>-p0</t>
    <phoneticPr fontId="7" type="noConversion"/>
  </si>
  <si>
    <t>-t0</t>
    <phoneticPr fontId="7" type="noConversion"/>
  </si>
  <si>
    <t>-k0</t>
    <phoneticPr fontId="7" type="noConversion"/>
  </si>
  <si>
    <t>-h0</t>
    <phoneticPr fontId="7" type="noConversion"/>
  </si>
  <si>
    <t>ㄫ</t>
    <phoneticPr fontId="7" type="noConversion"/>
  </si>
  <si>
    <t>ㄥ</t>
    <phoneticPr fontId="7" type="noConversion"/>
  </si>
  <si>
    <t>ㆷ</t>
    <phoneticPr fontId="7" type="noConversion"/>
  </si>
  <si>
    <t>U+F8D0</t>
    <phoneticPr fontId="7" type="noConversion"/>
  </si>
  <si>
    <t>U+F8D1</t>
  </si>
  <si>
    <t>U+F8D2</t>
  </si>
  <si>
    <t>U+F8D3</t>
  </si>
  <si>
    <t>U+F8E0</t>
    <phoneticPr fontId="7" type="noConversion"/>
  </si>
  <si>
    <t>U+F8E1</t>
  </si>
  <si>
    <t>U+F8F0</t>
    <phoneticPr fontId="7" type="noConversion"/>
  </si>
  <si>
    <t>U+F8F1</t>
  </si>
  <si>
    <t>U+F8F2</t>
  </si>
  <si>
    <t>U+F8F3</t>
  </si>
  <si>
    <t>聲母</t>
  </si>
  <si>
    <t>韻母</t>
  </si>
  <si>
    <t>ə</t>
  </si>
  <si>
    <t>ㄧㆦ</t>
  </si>
  <si>
    <t>ʦʰ</t>
    <phoneticPr fontId="7" type="noConversion"/>
  </si>
  <si>
    <t>ts</t>
    <phoneticPr fontId="7" type="noConversion"/>
  </si>
  <si>
    <t>ʣ</t>
    <phoneticPr fontId="7" type="noConversion"/>
  </si>
  <si>
    <t>pʰ</t>
    <phoneticPr fontId="7" type="noConversion"/>
  </si>
  <si>
    <t>tʰ</t>
    <phoneticPr fontId="7" type="noConversion"/>
  </si>
  <si>
    <t>kʰ</t>
    <phoneticPr fontId="7" type="noConversion"/>
  </si>
  <si>
    <r>
      <rPr>
        <b/>
        <sz val="20"/>
        <color theme="8"/>
        <rFont val="芫荽 0.94"/>
        <family val="3"/>
        <charset val="136"/>
      </rPr>
      <t>ŋ</t>
    </r>
    <phoneticPr fontId="7" type="noConversion"/>
  </si>
  <si>
    <t>ɔ</t>
    <phoneticPr fontId="7" type="noConversion"/>
  </si>
  <si>
    <t>ə</t>
    <phoneticPr fontId="7" type="noConversion"/>
  </si>
  <si>
    <t>ɑŋ</t>
    <phoneticPr fontId="7" type="noConversion"/>
  </si>
  <si>
    <t>ũ</t>
    <phoneticPr fontId="7" type="noConversion"/>
  </si>
  <si>
    <t>ĩ</t>
    <phoneticPr fontId="7" type="noConversion"/>
  </si>
  <si>
    <t>ẽ</t>
    <phoneticPr fontId="7" type="noConversion"/>
  </si>
  <si>
    <t>ɔ̃</t>
    <phoneticPr fontId="7" type="noConversion"/>
  </si>
  <si>
    <t>en</t>
    <phoneticPr fontId="7" type="noConversion"/>
  </si>
  <si>
    <t>ㄣ</t>
    <phoneticPr fontId="7" type="noConversion"/>
  </si>
  <si>
    <t>ɔŋ</t>
    <phoneticPr fontId="7" type="noConversion"/>
  </si>
  <si>
    <t>m̩</t>
    <phoneticPr fontId="7" type="noConversion"/>
  </si>
  <si>
    <t>ŋ̍</t>
    <phoneticPr fontId="7" type="noConversion"/>
  </si>
  <si>
    <t>p̚</t>
    <phoneticPr fontId="7" type="noConversion"/>
  </si>
  <si>
    <t>t̚</t>
    <phoneticPr fontId="7" type="noConversion"/>
  </si>
  <si>
    <t>k̚</t>
    <phoneticPr fontId="7" type="noConversion"/>
  </si>
  <si>
    <t>ʔ</t>
    <phoneticPr fontId="7" type="noConversion"/>
  </si>
  <si>
    <t>ik</t>
  </si>
  <si>
    <t>ioh</t>
  </si>
  <si>
    <t>ioo</t>
  </si>
  <si>
    <t>iok</t>
  </si>
  <si>
    <t>iooh</t>
  </si>
  <si>
    <t>oh</t>
  </si>
  <si>
    <t>op</t>
  </si>
  <si>
    <t>ok</t>
  </si>
  <si>
    <t>ooh</t>
  </si>
  <si>
    <t>onnh</t>
  </si>
  <si>
    <t>注音二式</t>
    <phoneticPr fontId="7" type="noConversion"/>
  </si>
  <si>
    <t>bb</t>
  </si>
  <si>
    <t>gg</t>
  </si>
  <si>
    <t>zz</t>
  </si>
  <si>
    <t>oonn</t>
  </si>
  <si>
    <t>or</t>
  </si>
  <si>
    <t>按鍵編碼</t>
    <phoneticPr fontId="7" type="noConversion"/>
  </si>
  <si>
    <t>[</t>
  </si>
  <si>
    <t>'</t>
  </si>
  <si>
    <t>\</t>
  </si>
  <si>
    <t>ʦʰi</t>
    <phoneticPr fontId="7" type="noConversion"/>
  </si>
  <si>
    <t>ʣi</t>
    <phoneticPr fontId="7" type="noConversion"/>
  </si>
  <si>
    <t>b0</t>
    <phoneticPr fontId="7" type="noConversion"/>
  </si>
  <si>
    <t>g0</t>
    <phoneticPr fontId="7" type="noConversion"/>
  </si>
  <si>
    <t>d0</t>
    <phoneticPr fontId="7" type="noConversion"/>
  </si>
  <si>
    <t>h0</t>
    <phoneticPr fontId="7" type="noConversion"/>
  </si>
  <si>
    <t>漢字</t>
  </si>
  <si>
    <t>沐</t>
  </si>
  <si>
    <t>哈</t>
  </si>
  <si>
    <t>調</t>
  </si>
  <si>
    <t>聲</t>
  </si>
  <si>
    <t>入</t>
  </si>
  <si>
    <t>母</t>
  </si>
  <si>
    <t>bio2</t>
  </si>
  <si>
    <t>bo2</t>
  </si>
  <si>
    <t>玉</t>
  </si>
  <si>
    <t>giok8</t>
  </si>
  <si>
    <t>giong2</t>
  </si>
  <si>
    <t>boo2</t>
  </si>
  <si>
    <t>拱</t>
  </si>
  <si>
    <t>kiong2</t>
  </si>
  <si>
    <t>虐</t>
  </si>
  <si>
    <t>gioh8</t>
  </si>
  <si>
    <t>香</t>
  </si>
  <si>
    <t>hionn1</t>
  </si>
  <si>
    <t>hop4</t>
  </si>
  <si>
    <t>boh4</t>
  </si>
  <si>
    <t>莫</t>
  </si>
  <si>
    <t>摸</t>
  </si>
  <si>
    <t>bong1</t>
  </si>
  <si>
    <t>鴦</t>
  </si>
  <si>
    <t>鍵</t>
  </si>
  <si>
    <t>韻</t>
  </si>
  <si>
    <t>響</t>
  </si>
  <si>
    <t>欣</t>
  </si>
  <si>
    <t>注音編碼</t>
  </si>
  <si>
    <t>國際音標</t>
  </si>
  <si>
    <t>音標種類</t>
  </si>
  <si>
    <t>注音二式</t>
  </si>
  <si>
    <t>附註</t>
  </si>
  <si>
    <t>pʰ</t>
  </si>
  <si>
    <t>此時的 m 出現於拼音首字</t>
  </si>
  <si>
    <t>tʰ</t>
  </si>
  <si>
    <t>此時的 n 出現於拼音首字</t>
  </si>
  <si>
    <t>kʰ</t>
  </si>
  <si>
    <t>ŋ</t>
  </si>
  <si>
    <t>此時的 ng 出現於拼音首字</t>
  </si>
  <si>
    <t>ʨ</t>
  </si>
  <si>
    <t>tsi</t>
  </si>
  <si>
    <t>ʥ</t>
  </si>
  <si>
    <t>jji</t>
  </si>
  <si>
    <t>ʨʰ</t>
  </si>
  <si>
    <t>tshi</t>
  </si>
  <si>
    <t>ɕ</t>
  </si>
  <si>
    <t>shi</t>
  </si>
  <si>
    <t>ʣ</t>
  </si>
  <si>
    <t>ʦʰ</t>
  </si>
  <si>
    <t>tsh</t>
  </si>
  <si>
    <t>ã</t>
  </si>
  <si>
    <t>ĩ</t>
  </si>
  <si>
    <t>ũ</t>
  </si>
  <si>
    <t>ẽ</t>
  </si>
  <si>
    <t>ɔ</t>
  </si>
  <si>
    <t>ɔ̃</t>
  </si>
  <si>
    <t>ãĩ</t>
  </si>
  <si>
    <t>ãũ</t>
  </si>
  <si>
    <t>ɨ</t>
  </si>
  <si>
    <t>ɔm</t>
  </si>
  <si>
    <t>此時的 m 出現於拼音尾部，m 之後會緊接【調號】數值：[012345678]</t>
  </si>
  <si>
    <t>此時的 n 出現於拼音尾部，n 之後會緊接【調號】數值：[012345678]</t>
  </si>
  <si>
    <t>aŋ</t>
  </si>
  <si>
    <t>ɔŋ</t>
  </si>
  <si>
    <t>此時的 ng 出現於拼音尾部，ng 之後會緊接【調號】數值：[012345678]</t>
  </si>
  <si>
    <t>ㄧㆤ</t>
  </si>
  <si>
    <t>iek</t>
  </si>
  <si>
    <t>編號</t>
  </si>
  <si>
    <t>國際音標附註</t>
  </si>
  <si>
    <t>前置處理</t>
  </si>
  <si>
    <t>oo發 [ɔ] 音</t>
  </si>
  <si>
    <t>bboo2</t>
  </si>
  <si>
    <t>ㆠㆦˋ</t>
  </si>
  <si>
    <t>oonnh</t>
  </si>
  <si>
    <t>On</t>
  </si>
  <si>
    <t>hioonn1</t>
  </si>
  <si>
    <t>ㄏㄧㆧ</t>
  </si>
  <si>
    <t>Oh</t>
  </si>
  <si>
    <t>嚄</t>
  </si>
  <si>
    <t>hooh</t>
  </si>
  <si>
    <t>ㄏㆦㆷ</t>
  </si>
  <si>
    <t>ㆧㆷ</t>
  </si>
  <si>
    <t>Onnh</t>
  </si>
  <si>
    <t>𠳝</t>
  </si>
  <si>
    <t>honnh</t>
  </si>
  <si>
    <t>hoonnh</t>
  </si>
  <si>
    <t>ㄏㆧㆷ</t>
  </si>
  <si>
    <t>oom</t>
  </si>
  <si>
    <t>此處o發 [ɔ] 音</t>
  </si>
  <si>
    <t>Om</t>
  </si>
  <si>
    <t>hom4</t>
  </si>
  <si>
    <t>hoom4</t>
  </si>
  <si>
    <t>ㄏㆱ</t>
  </si>
  <si>
    <t>Ong</t>
  </si>
  <si>
    <t>bbong1</t>
  </si>
  <si>
    <t>ㆠㆲ</t>
  </si>
  <si>
    <t>oop</t>
  </si>
  <si>
    <t>ㆦㆴ</t>
  </si>
  <si>
    <t>Op</t>
  </si>
  <si>
    <t>hoop4</t>
  </si>
  <si>
    <t>ㄏㆦㆴ</t>
  </si>
  <si>
    <t>ook</t>
  </si>
  <si>
    <t>ㆦ</t>
  </si>
  <si>
    <t>Ok</t>
  </si>
  <si>
    <t>bok4</t>
  </si>
  <si>
    <t>bbook4</t>
  </si>
  <si>
    <t>ㆠㆦ</t>
  </si>
  <si>
    <t>iO</t>
  </si>
  <si>
    <t>吳守禮字典無參考例</t>
  </si>
  <si>
    <t>ioonn</t>
  </si>
  <si>
    <t>iOnn</t>
  </si>
  <si>
    <t>ionn1</t>
  </si>
  <si>
    <t>ioonn1</t>
  </si>
  <si>
    <t>ㄧㆦㆷ</t>
  </si>
  <si>
    <t>iOh</t>
  </si>
  <si>
    <t>hionn2</t>
  </si>
  <si>
    <t>hioonn2</t>
  </si>
  <si>
    <t>ㄏㄧㆧˋ</t>
  </si>
  <si>
    <t>iOng</t>
  </si>
  <si>
    <t>iook</t>
  </si>
  <si>
    <t>ㄧㆦ</t>
  </si>
  <si>
    <t>iOk</t>
  </si>
  <si>
    <t>ㄍㄧㆲˋ</t>
  </si>
  <si>
    <t>此處o發 [o] 音</t>
  </si>
  <si>
    <t>ggiook8</t>
  </si>
  <si>
    <t>ㆣㄧㆦ˙</t>
  </si>
  <si>
    <t>orh</t>
  </si>
  <si>
    <t>ㄜㆷ</t>
  </si>
  <si>
    <t>bbor2</t>
  </si>
  <si>
    <t>ㆠㄜˋ</t>
  </si>
  <si>
    <t>ior</t>
  </si>
  <si>
    <t>bborh4</t>
  </si>
  <si>
    <t>ㆠㄜㆷ</t>
  </si>
  <si>
    <t>iorh</t>
  </si>
  <si>
    <t>bbior2</t>
  </si>
  <si>
    <t>ㆠㄧㄜˋ</t>
  </si>
  <si>
    <t>ggiorh8</t>
  </si>
  <si>
    <t>ㆣㄧㄜㆷ˙</t>
  </si>
  <si>
    <t>ㆪ</t>
    <phoneticPr fontId="7" type="noConversion"/>
  </si>
  <si>
    <t>en</t>
  </si>
  <si>
    <t>(i)ng</t>
  </si>
  <si>
    <t>zi</t>
  </si>
  <si>
    <t>Zi</t>
  </si>
  <si>
    <t>b0</t>
  </si>
  <si>
    <t>d0</t>
  </si>
  <si>
    <t>g0</t>
  </si>
  <si>
    <t>h0</t>
  </si>
  <si>
    <t>ㆠ</t>
    <phoneticPr fontId="7" type="noConversion"/>
  </si>
  <si>
    <t>ing ==&gt; ㄧㄥ</t>
  </si>
  <si>
    <t/>
  </si>
  <si>
    <t>公式準則</t>
    <phoneticPr fontId="7" type="noConversion"/>
  </si>
  <si>
    <t>符號編碼</t>
    <phoneticPr fontId="3" type="noConversion"/>
  </si>
  <si>
    <t>字母長度</t>
    <phoneticPr fontId="7" type="noConversion"/>
  </si>
  <si>
    <t>聲韻調</t>
    <phoneticPr fontId="7" type="noConversion"/>
  </si>
  <si>
    <t>聲</t>
    <phoneticPr fontId="7" type="noConversion"/>
  </si>
  <si>
    <t>調</t>
    <phoneticPr fontId="7" type="noConversion"/>
  </si>
  <si>
    <t>韻</t>
    <phoneticPr fontId="7" type="noConversion"/>
  </si>
  <si>
    <t>入聲韻母輸入鍵</t>
    <phoneticPr fontId="7" type="noConversion"/>
  </si>
  <si>
    <t>韻尾</t>
    <phoneticPr fontId="7" type="noConversion"/>
  </si>
  <si>
    <t>m鼻音韻尾編碼：【M】</t>
    <phoneticPr fontId="7" type="noConversion"/>
  </si>
  <si>
    <t>n鼻音韻尾編碼：【N】</t>
    <phoneticPr fontId="7" type="noConversion"/>
  </si>
  <si>
    <t>h入聲韻尾編碼：【H】</t>
    <phoneticPr fontId="7" type="noConversion"/>
  </si>
  <si>
    <t>p入聲韻尾編碼：【P】</t>
    <phoneticPr fontId="7" type="noConversion"/>
  </si>
  <si>
    <t>t入聲韻尾</t>
    <phoneticPr fontId="7" type="noConversion"/>
  </si>
  <si>
    <t>k入聲韻尾</t>
    <phoneticPr fontId="7" type="noConversion"/>
  </si>
  <si>
    <t>p入聲韻尾</t>
    <phoneticPr fontId="7" type="noConversion"/>
  </si>
  <si>
    <t>h入聲韻尾</t>
    <phoneticPr fontId="7" type="noConversion"/>
  </si>
  <si>
    <t>k入聲編碼：【K】</t>
    <phoneticPr fontId="7" type="noConversion"/>
  </si>
  <si>
    <t>t入聲韻尾編碼：【T】</t>
    <phoneticPr fontId="7" type="noConversion"/>
  </si>
  <si>
    <t>jj</t>
  </si>
  <si>
    <t>sh</t>
  </si>
  <si>
    <t>台語拼音</t>
    <phoneticPr fontId="7" type="noConversion"/>
  </si>
  <si>
    <t>原用【H】；ang【f】；ong【F】</t>
  </si>
  <si>
    <t>【ㆱ】共用【m】按鍵；【編碼】=【v】</t>
  </si>
  <si>
    <t>鍵盤按鍵</t>
    <phoneticPr fontId="7" type="noConversion"/>
  </si>
  <si>
    <t>方音編碼</t>
    <phoneticPr fontId="7" type="noConversion"/>
  </si>
  <si>
    <t>jj</t>
    <phoneticPr fontId="7" type="noConversion"/>
  </si>
  <si>
    <t>ch</t>
    <phoneticPr fontId="7" type="noConversion"/>
  </si>
  <si>
    <t>sh</t>
    <phoneticPr fontId="7" type="noConversion"/>
  </si>
  <si>
    <t>t0</t>
    <phoneticPr fontId="7" type="noConversion"/>
  </si>
  <si>
    <t>k0</t>
    <phoneticPr fontId="7" type="noConversion"/>
  </si>
  <si>
    <t>p0</t>
    <phoneticPr fontId="7" type="noConversion"/>
  </si>
  <si>
    <t>h0</t>
    <phoneticPr fontId="7" type="noConversion"/>
  </si>
  <si>
    <t>_</t>
    <phoneticPr fontId="7" type="noConversion"/>
  </si>
  <si>
    <t>-</t>
    <phoneticPr fontId="7" type="noConversion"/>
  </si>
  <si>
    <t>m-</t>
    <phoneticPr fontId="7" type="noConversion"/>
  </si>
  <si>
    <t>n-</t>
    <phoneticPr fontId="7" type="noConversion"/>
  </si>
  <si>
    <t>-n</t>
    <phoneticPr fontId="7" type="noConversion"/>
  </si>
  <si>
    <t>d</t>
    <phoneticPr fontId="7" type="noConversion"/>
  </si>
  <si>
    <t>t</t>
    <phoneticPr fontId="7" type="noConversion"/>
  </si>
  <si>
    <t>ng鼻音韻尾編碼：【G】</t>
  </si>
  <si>
    <t>ng鼻音韻尾編碼：【W】</t>
  </si>
  <si>
    <t>方音符號</t>
    <phoneticPr fontId="7" type="noConversion"/>
  </si>
  <si>
    <t>鍵</t>
    <phoneticPr fontId="7" type="noConversion"/>
  </si>
  <si>
    <t>ptkh</t>
  </si>
  <si>
    <t>ㄚ</t>
    <phoneticPr fontId="7" type="noConversion"/>
  </si>
  <si>
    <r>
      <rPr>
        <b/>
        <vertAlign val="subscript"/>
        <sz val="24"/>
        <color theme="8"/>
        <rFont val="Microsoft JhengHei"/>
        <family val="2"/>
      </rPr>
      <t>ㄥ</t>
    </r>
    <r>
      <rPr>
        <b/>
        <sz val="24"/>
        <color theme="8"/>
        <rFont val="Microsoft JhengHei"/>
        <family val="1"/>
      </rPr>
      <t>ㄚ</t>
    </r>
    <phoneticPr fontId="7" type="noConversion"/>
  </si>
  <si>
    <r>
      <t>a</t>
    </r>
    <r>
      <rPr>
        <b/>
        <vertAlign val="superscript"/>
        <sz val="20"/>
        <color theme="8"/>
        <rFont val="Times New Roman"/>
        <family val="1"/>
      </rPr>
      <t>n</t>
    </r>
    <phoneticPr fontId="7" type="noConversion"/>
  </si>
  <si>
    <r>
      <t>X</t>
    </r>
    <r>
      <rPr>
        <b/>
        <vertAlign val="superscript"/>
        <sz val="20"/>
        <color theme="8"/>
        <rFont val="Times New Roman"/>
        <family val="1"/>
      </rPr>
      <t>n</t>
    </r>
    <phoneticPr fontId="7" type="noConversion"/>
  </si>
  <si>
    <t>*nn</t>
    <phoneticPr fontId="7" type="noConversion"/>
  </si>
  <si>
    <t>ñ</t>
    <phoneticPr fontId="7" type="noConversion"/>
  </si>
  <si>
    <t>Ƞ</t>
    <phoneticPr fontId="7" type="noConversion"/>
  </si>
  <si>
    <t>'</t>
    <phoneticPr fontId="7" type="noConversion"/>
  </si>
  <si>
    <t>ñ</t>
  </si>
  <si>
    <t>nn</t>
  </si>
  <si>
    <t>入</t>
    <phoneticPr fontId="7" type="noConversion"/>
  </si>
  <si>
    <t>bpPmntTlgkKŋjzcshJZCSaiwueOəMNGRFQVIUY@AWHdfqrvxy8732541L&amp;*</t>
  </si>
  <si>
    <t>!1qas2wxEedGYyhncRrfv8uKj,ikmp/btgz9lM0;Oo*UJ&lt;I(L75346][N.&gt;</t>
  </si>
  <si>
    <t>1!qa2wsxeEdNcrRfvyYhnuUjJ8*iIk,&lt;9(lL;oMO0mp/Kbtgz</t>
  </si>
  <si>
    <t>ㄅㆠㄆㄇㄉㄊㄋㄌㄍㆣㄎㄫㄏㄐㆢㄑㄒㄗㆡㄘㄙㄧㆪㄨㆫㄚㆩㆦㆧㄜㆤㆥㄞㆮㄠㆯㄤㆲㆰㆱㄢㆬㄣㆭㆨㆴㆵㆻㆷ</t>
  </si>
  <si>
    <t>G</t>
    <phoneticPr fontId="7" type="noConversion"/>
  </si>
  <si>
    <t>R</t>
    <phoneticPr fontId="7" type="noConversion"/>
  </si>
  <si>
    <t>F</t>
    <phoneticPr fontId="7" type="noConversion"/>
  </si>
  <si>
    <t>Q</t>
    <phoneticPr fontId="7" type="noConversion"/>
  </si>
  <si>
    <t>V</t>
    <phoneticPr fontId="7" type="noConversion"/>
  </si>
  <si>
    <t>ãi</t>
    <phoneticPr fontId="7" type="noConversion"/>
  </si>
  <si>
    <t>ãu</t>
    <phoneticPr fontId="7" type="noConversion"/>
  </si>
  <si>
    <t>ɯ</t>
    <phoneticPr fontId="7" type="noConversion"/>
  </si>
  <si>
    <t>*nn</t>
  </si>
  <si>
    <t>bbn</t>
    <phoneticPr fontId="7" type="noConversion"/>
  </si>
  <si>
    <t>ln</t>
    <phoneticPr fontId="7" type="noConversion"/>
  </si>
  <si>
    <t>ggn</t>
    <phoneticPr fontId="7" type="noConversion"/>
  </si>
  <si>
    <t>no</t>
    <phoneticPr fontId="7" type="noConversion"/>
  </si>
  <si>
    <t>na</t>
    <phoneticPr fontId="7" type="noConversion"/>
  </si>
  <si>
    <t>o</t>
    <phoneticPr fontId="7" type="noConversion"/>
  </si>
  <si>
    <t>eu</t>
    <phoneticPr fontId="7" type="noConversion"/>
  </si>
  <si>
    <t>ne</t>
    <phoneticPr fontId="7" type="noConversion"/>
  </si>
  <si>
    <t>nai</t>
    <phoneticPr fontId="7" type="noConversion"/>
  </si>
  <si>
    <t>nau</t>
    <phoneticPr fontId="7" type="noConversion"/>
  </si>
  <si>
    <t>G</t>
    <phoneticPr fontId="7" type="noConversion"/>
  </si>
  <si>
    <t>A</t>
    <phoneticPr fontId="7" type="noConversion"/>
  </si>
  <si>
    <t>W</t>
    <phoneticPr fontId="7" type="noConversion"/>
  </si>
  <si>
    <t>U</t>
    <phoneticPr fontId="7" type="noConversion"/>
  </si>
  <si>
    <t>Y</t>
    <phoneticPr fontId="7" type="noConversion"/>
  </si>
  <si>
    <t>閩拼方案</t>
  </si>
  <si>
    <t>閩拼方案</t>
    <phoneticPr fontId="7" type="noConversion"/>
  </si>
  <si>
    <t>閩拼方案</t>
    <phoneticPr fontId="7" type="noConversion"/>
  </si>
  <si>
    <t>I</t>
    <phoneticPr fontId="7" type="noConversion"/>
  </si>
  <si>
    <t>V</t>
    <phoneticPr fontId="7" type="noConversion"/>
  </si>
  <si>
    <t>w</t>
    <phoneticPr fontId="7" type="noConversion"/>
  </si>
  <si>
    <t>x</t>
    <phoneticPr fontId="7" type="noConversion"/>
  </si>
  <si>
    <t>y</t>
    <phoneticPr fontId="7" type="noConversion"/>
  </si>
  <si>
    <t>方音符號</t>
    <phoneticPr fontId="7" type="noConversion"/>
  </si>
  <si>
    <t>鼻化韻母</t>
    <phoneticPr fontId="7" type="noConversion"/>
  </si>
  <si>
    <t>ni</t>
    <phoneticPr fontId="7" type="noConversion"/>
  </si>
  <si>
    <t>nu</t>
    <phoneticPr fontId="7" type="noConversion"/>
  </si>
  <si>
    <t>La</t>
  </si>
  <si>
    <t>Li</t>
  </si>
  <si>
    <t>Lu</t>
  </si>
  <si>
    <t>Le</t>
  </si>
  <si>
    <t>Lo</t>
  </si>
  <si>
    <t>LI</t>
  </si>
  <si>
    <t>LU</t>
  </si>
  <si>
    <t>ˋ</t>
    <phoneticPr fontId="7" type="noConversion"/>
  </si>
  <si>
    <t>輸入【鼻音化韻母】的【前置識別符】</t>
  </si>
  <si>
    <t>陰入</t>
  </si>
  <si>
    <t>陰入</t>
    <phoneticPr fontId="7" type="noConversion"/>
  </si>
  <si>
    <t>陽入</t>
  </si>
  <si>
    <t>陽入</t>
    <phoneticPr fontId="7" type="noConversion"/>
  </si>
  <si>
    <t>輕聲</t>
    <phoneticPr fontId="7" type="noConversion"/>
  </si>
  <si>
    <t>調號</t>
  </si>
  <si>
    <t>調名</t>
  </si>
  <si>
    <t>陰平</t>
  </si>
  <si>
    <t>陰上</t>
  </si>
  <si>
    <t>ㆴ、ㆵ、ㆻ、ㆷ</t>
  </si>
  <si>
    <t>ㆴ˙、ㆵ˙、ㆻ˙、ㆷ˙</t>
  </si>
  <si>
    <t>調值</t>
  </si>
  <si>
    <t>˥˥ 55</t>
  </si>
  <si>
    <t>˥˩ 51</t>
  </si>
  <si>
    <t>˧˩ 31</t>
  </si>
  <si>
    <t>˧ 30</t>
  </si>
  <si>
    <t>˨˦ 24</t>
  </si>
  <si>
    <t>˧˧ 33</t>
  </si>
  <si>
    <t>˥ 50</t>
  </si>
  <si>
    <t>˙</t>
    <phoneticPr fontId="7" type="noConversion"/>
  </si>
  <si>
    <t>台羅調號</t>
    <phoneticPr fontId="7" type="noConversion"/>
  </si>
  <si>
    <t>方音調符</t>
    <phoneticPr fontId="7" type="noConversion"/>
  </si>
  <si>
    <t>閩拚調號</t>
    <phoneticPr fontId="7" type="noConversion"/>
  </si>
  <si>
    <t>閩拚調符</t>
    <phoneticPr fontId="7" type="noConversion"/>
  </si>
  <si>
    <t>陰平</t>
    <phoneticPr fontId="7" type="noConversion"/>
  </si>
  <si>
    <t>陰入</t>
    <phoneticPr fontId="7" type="noConversion"/>
  </si>
  <si>
    <t>陽去</t>
    <phoneticPr fontId="7" type="noConversion"/>
  </si>
  <si>
    <t>陰去</t>
    <phoneticPr fontId="7" type="noConversion"/>
  </si>
  <si>
    <t>陰上</t>
    <phoneticPr fontId="7" type="noConversion"/>
  </si>
  <si>
    <t>陽平</t>
    <phoneticPr fontId="7" type="noConversion"/>
  </si>
  <si>
    <t>陽入</t>
    <phoneticPr fontId="7" type="noConversion"/>
  </si>
  <si>
    <t>輕聲</t>
    <phoneticPr fontId="7" type="noConversion"/>
  </si>
  <si>
    <t>聲調名</t>
    <phoneticPr fontId="7" type="noConversion"/>
  </si>
  <si>
    <t>W調名</t>
    <phoneticPr fontId="7" type="noConversion"/>
  </si>
  <si>
    <t>高平調</t>
    <phoneticPr fontId="7" type="noConversion"/>
  </si>
  <si>
    <t>中平調</t>
    <phoneticPr fontId="7" type="noConversion"/>
  </si>
  <si>
    <t>低平調</t>
    <phoneticPr fontId="7" type="noConversion"/>
  </si>
  <si>
    <t>低促調</t>
    <phoneticPr fontId="7" type="noConversion"/>
  </si>
  <si>
    <t>高促調</t>
    <phoneticPr fontId="7" type="noConversion"/>
  </si>
  <si>
    <t>輕聲調</t>
    <phoneticPr fontId="7" type="noConversion"/>
  </si>
  <si>
    <t>高降調</t>
    <phoneticPr fontId="7" type="noConversion"/>
  </si>
  <si>
    <t>低升調</t>
    <phoneticPr fontId="7" type="noConversion"/>
  </si>
  <si>
    <t>調值</t>
    <phoneticPr fontId="7" type="noConversion"/>
  </si>
  <si>
    <t>˥˥</t>
    <phoneticPr fontId="7" type="noConversion"/>
  </si>
  <si>
    <t>⁰</t>
    <phoneticPr fontId="7" type="noConversion"/>
  </si>
  <si>
    <t>˧˧ </t>
  </si>
  <si>
    <t>˧˩</t>
  </si>
  <si>
    <t>˥˩</t>
  </si>
  <si>
    <t>˨˦ </t>
  </si>
  <si>
    <t>˧</t>
  </si>
  <si>
    <t>˥</t>
  </si>
  <si>
    <t>[78]</t>
    <phoneticPr fontId="7" type="noConversion"/>
  </si>
  <si>
    <t>◌́ U+0301</t>
  </si>
  <si>
    <t>◌̀ U+0300</t>
  </si>
  <si>
    <t>◌̍ U+030D</t>
  </si>
  <si>
    <t>◌̂ U+0302</t>
  </si>
  <si>
    <t>◌̌ U+030C</t>
  </si>
  <si>
    <t>◌̄ U+0304</t>
  </si>
  <si>
    <t>陰平 ㄚ̄</t>
  </si>
  <si>
    <t>陽平 ㄚ́</t>
  </si>
  <si>
    <t>陰上 ㄚ̌</t>
  </si>
  <si>
    <t>陽上 ㄚ̄</t>
  </si>
  <si>
    <t>陰去 ㄚ̀</t>
  </si>
  <si>
    <t>陽去 ㄚ̂</t>
  </si>
  <si>
    <t>陰入 ㄚㆷ̄</t>
  </si>
  <si>
    <t>陽入 ㄚㆷ́</t>
  </si>
  <si>
    <t>輕聲 ㄚㆷ˙</t>
  </si>
  <si>
    <t>U+030A COMBINING RING ABOVE (上圓圈)</t>
  </si>
  <si>
    <t>U+0307 COMBINING DOT ABOVE (上點)</t>
  </si>
  <si>
    <t>U+030D COMBINING VERTICAL LINE ABOVE (上豎線)</t>
  </si>
  <si>
    <t>U+030A</t>
    <phoneticPr fontId="7" type="noConversion"/>
  </si>
  <si>
    <t>U+0317</t>
    <phoneticPr fontId="7" type="noConversion"/>
  </si>
  <si>
    <t>U+030D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</si>
</sst>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;\(&quot;空&quot;&quot;白&quot;&quot;字&quot;&quot;元&quot;\)"/>
    <numFmt numFmtId="177" formatCode="General;;"/>
  </numFmts>
  <fonts count="164">
    <font>
      <sz val="16"/>
      <color rgb="FF000000"/>
      <name val="新細明體"/>
      <family val="1"/>
      <charset val="136"/>
      <scheme val="minor"/>
    </font>
    <font>
      <sz val="12"/>
      <name val="宋体"/>
      <family val="3"/>
      <charset val="136"/>
    </font>
    <font>
      <sz val="18"/>
      <color rgb="FFFF0000"/>
      <name val="Arial"/>
      <family val="2"/>
    </font>
    <font>
      <sz val="9"/>
      <name val="BopomofoRuby1909-v1"/>
      <family val="3"/>
      <charset val="136"/>
    </font>
    <font>
      <sz val="18"/>
      <name val="宋体"/>
      <charset val="136"/>
    </font>
    <font>
      <sz val="18"/>
      <color rgb="FFFF0000"/>
      <name val="BopomofoRuby1909-v1"/>
      <family val="2"/>
      <charset val="136"/>
    </font>
    <font>
      <b/>
      <sz val="16"/>
      <color rgb="FFC00000"/>
      <name val="Noto Sans TC"/>
      <family val="2"/>
      <charset val="136"/>
    </font>
    <font>
      <sz val="9"/>
      <name val="新細明體"/>
      <family val="1"/>
      <charset val="136"/>
      <scheme val="minor"/>
    </font>
    <font>
      <sz val="24"/>
      <color rgb="FF000000"/>
      <name val="Iansui 094"/>
      <family val="3"/>
      <charset val="136"/>
    </font>
    <font>
      <b/>
      <sz val="18"/>
      <color rgb="FFC00000"/>
      <name val="Noto Serif TC Medium"/>
      <family val="1"/>
      <charset val="136"/>
    </font>
    <font>
      <sz val="18"/>
      <name val="Noto Serif TC Medium"/>
      <family val="1"/>
      <charset val="136"/>
    </font>
    <font>
      <sz val="18"/>
      <color rgb="FFFF0000"/>
      <name val="Iansui 094"/>
      <family val="3"/>
      <charset val="136"/>
    </font>
    <font>
      <b/>
      <sz val="18"/>
      <color rgb="FFFF0000"/>
      <name val="Iansui 094"/>
      <family val="3"/>
      <charset val="136"/>
    </font>
    <font>
      <b/>
      <sz val="18"/>
      <color rgb="FFFF0000"/>
      <name val="Noto Serif TC Medium"/>
      <family val="1"/>
      <charset val="136"/>
    </font>
    <font>
      <sz val="18"/>
      <color theme="8"/>
      <name val="Noto Serif TC Medium"/>
      <family val="1"/>
      <charset val="136"/>
    </font>
    <font>
      <sz val="24"/>
      <color rgb="FFFF0000"/>
      <name val="Iansui 094"/>
      <family val="3"/>
      <charset val="136"/>
    </font>
    <font>
      <sz val="18"/>
      <color rgb="FFFF0000"/>
      <name val="Noto Serif TC Medium"/>
      <family val="1"/>
      <charset val="136"/>
    </font>
    <font>
      <sz val="18"/>
      <color rgb="FFFF0000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Arial"/>
      <family val="2"/>
    </font>
    <font>
      <sz val="16"/>
      <name val="Iansui 094"/>
      <family val="3"/>
      <charset val="136"/>
    </font>
    <font>
      <sz val="10"/>
      <color rgb="FF000000"/>
      <name val="Noto Serif TC Medium"/>
      <family val="1"/>
      <charset val="136"/>
    </font>
    <font>
      <sz val="10"/>
      <color rgb="FF000000"/>
      <name val="新細明體"/>
      <family val="1"/>
      <charset val="136"/>
      <scheme val="minor"/>
    </font>
    <font>
      <sz val="20"/>
      <color rgb="FF000000"/>
      <name val="新細明體"/>
      <family val="1"/>
      <charset val="136"/>
      <scheme val="minor"/>
    </font>
    <font>
      <sz val="18"/>
      <color rgb="FF0070C0"/>
      <name val="新細明體"/>
      <family val="1"/>
      <charset val="136"/>
      <scheme val="minor"/>
    </font>
    <font>
      <sz val="18"/>
      <color rgb="FF000000"/>
      <name val="新細明體"/>
      <family val="1"/>
      <charset val="136"/>
      <scheme val="minor"/>
    </font>
    <font>
      <sz val="18"/>
      <color rgb="FF000000"/>
      <name val="Arial"/>
      <family val="2"/>
    </font>
    <font>
      <sz val="20"/>
      <color rgb="FF000000"/>
      <name val="Arial"/>
      <family val="2"/>
    </font>
    <font>
      <sz val="20"/>
      <name val="宋体"/>
      <charset val="136"/>
    </font>
    <font>
      <sz val="16"/>
      <color rgb="FF000000"/>
      <name val="Arial"/>
      <family val="2"/>
    </font>
    <font>
      <sz val="20"/>
      <color rgb="FF000000"/>
      <name val="Iansui 094"/>
      <family val="3"/>
      <charset val="136"/>
    </font>
    <font>
      <b/>
      <sz val="20"/>
      <color rgb="FF000000"/>
      <name val="宋体"/>
      <charset val="136"/>
    </font>
    <font>
      <b/>
      <sz val="20"/>
      <color rgb="FF000000"/>
      <name val="Times New Roman"/>
      <family val="1"/>
    </font>
    <font>
      <b/>
      <sz val="20"/>
      <color rgb="FF000000"/>
      <name val="SimSun"/>
      <charset val="134"/>
    </font>
    <font>
      <sz val="20"/>
      <color rgb="FF000000"/>
      <name val="宋体"/>
      <charset val="136"/>
    </font>
    <font>
      <b/>
      <sz val="24"/>
      <color theme="7" tint="-0.249977111117893"/>
      <name val="Times New Roman"/>
      <family val="1"/>
    </font>
    <font>
      <b/>
      <sz val="20"/>
      <color rgb="FF000000"/>
      <name val="Arial"/>
      <family val="2"/>
    </font>
    <font>
      <sz val="26"/>
      <color rgb="FFFF0000"/>
      <name val="KangXiZiDian.com 康熙字典體常用版"/>
      <charset val="136"/>
    </font>
    <font>
      <sz val="26"/>
      <color theme="7" tint="-0.249977111117893"/>
      <name val="KangXiZiDian.com 康熙字典體常用版"/>
      <charset val="136"/>
    </font>
    <font>
      <sz val="20"/>
      <color theme="4"/>
      <name val="Arial"/>
      <family val="2"/>
    </font>
    <font>
      <sz val="36"/>
      <color rgb="FFFF0000"/>
      <name val="KangXiZiDian.com 康熙字典體常用版"/>
      <charset val="136"/>
    </font>
    <font>
      <sz val="14"/>
      <color rgb="FFFF0000"/>
      <name val="KangXiZiDian.com 康熙字典體常用版"/>
      <charset val="136"/>
    </font>
    <font>
      <sz val="18"/>
      <name val="Arial"/>
      <family val="2"/>
    </font>
    <font>
      <sz val="20"/>
      <color rgb="FFFF0000"/>
      <name val="Iansui 094"/>
      <family val="3"/>
      <charset val="136"/>
    </font>
    <font>
      <sz val="18"/>
      <color theme="4"/>
      <name val="Microsoft JhengHei UI"/>
      <family val="2"/>
      <charset val="136"/>
    </font>
    <font>
      <b/>
      <sz val="24"/>
      <color rgb="FF00B050"/>
      <name val="Times New Roman"/>
      <family val="1"/>
    </font>
    <font>
      <sz val="18"/>
      <color rgb="FF0070C0"/>
      <name val="宋体"/>
      <charset val="136"/>
    </font>
    <font>
      <sz val="18"/>
      <color rgb="FF0070C0"/>
      <name val="LXGW WenKai Mono"/>
      <family val="3"/>
      <charset val="136"/>
    </font>
    <font>
      <sz val="18"/>
      <color rgb="FF00B0F0"/>
      <name val="Arial"/>
      <family val="2"/>
    </font>
    <font>
      <b/>
      <sz val="18"/>
      <color theme="8" tint="0.39997558519241921"/>
      <name val="Arial"/>
      <family val="2"/>
    </font>
    <font>
      <sz val="18"/>
      <name val="LXGW WenKai Mono"/>
      <family val="3"/>
      <charset val="136"/>
    </font>
    <font>
      <sz val="20"/>
      <name val="Arial"/>
      <family val="2"/>
    </font>
    <font>
      <sz val="18"/>
      <color rgb="FFFFFF00"/>
      <name val="LXGW WenKai Mono"/>
      <family val="3"/>
      <charset val="136"/>
    </font>
    <font>
      <sz val="18"/>
      <color theme="0"/>
      <name val="LXGW WenKai Mono"/>
      <family val="3"/>
      <charset val="136"/>
    </font>
    <font>
      <sz val="24"/>
      <color theme="0"/>
      <name val="Iansui 094"/>
      <family val="3"/>
      <charset val="136"/>
    </font>
    <font>
      <sz val="28"/>
      <color theme="8"/>
      <name val="Noto Serif TC Bold"/>
      <family val="2"/>
      <charset val="136"/>
    </font>
    <font>
      <sz val="28"/>
      <color theme="8"/>
      <name val="Microsoft JhengHei"/>
      <family val="2"/>
      <charset val="136"/>
    </font>
    <font>
      <sz val="28"/>
      <color theme="8"/>
      <name val="Calibri"/>
      <family val="2"/>
    </font>
    <font>
      <sz val="18"/>
      <color rgb="FF000000"/>
      <name val="SimSun"/>
      <charset val="134"/>
    </font>
    <font>
      <sz val="18"/>
      <color rgb="FF000000"/>
      <name val="BopomofoRuby1909-v1"/>
      <family val="3"/>
      <charset val="136"/>
    </font>
    <font>
      <b/>
      <sz val="18"/>
      <color rgb="FFFF0000"/>
      <name val="Microsoft JhengHei"/>
      <family val="2"/>
      <charset val="136"/>
    </font>
    <font>
      <sz val="18"/>
      <color rgb="FF444444"/>
      <name val="Arial"/>
      <family val="2"/>
    </font>
    <font>
      <sz val="28"/>
      <color theme="8"/>
      <name val="Noto Serif TC Bold"/>
      <family val="1"/>
      <charset val="136"/>
    </font>
    <font>
      <sz val="18"/>
      <color rgb="FF000000"/>
      <name val="Microsoft JhengHei"/>
      <family val="2"/>
      <charset val="136"/>
    </font>
    <font>
      <sz val="18"/>
      <color rgb="FF000000"/>
      <name val="PMingLiU"/>
      <family val="1"/>
      <charset val="136"/>
    </font>
    <font>
      <sz val="18"/>
      <color theme="0"/>
      <name val="Arial"/>
      <family val="2"/>
    </font>
    <font>
      <sz val="18"/>
      <name val="Times New Roman"/>
      <family val="1"/>
    </font>
    <font>
      <b/>
      <sz val="18"/>
      <color theme="5" tint="-0.249977111117893"/>
      <name val="Noto Serif TC Medium"/>
      <family val="1"/>
      <charset val="136"/>
    </font>
    <font>
      <b/>
      <sz val="24"/>
      <color theme="5" tint="-0.249977111117893"/>
      <name val="Iansui 094"/>
      <family val="3"/>
      <charset val="136"/>
    </font>
    <font>
      <b/>
      <sz val="18"/>
      <color theme="5" tint="-0.249977111117893"/>
      <name val="Times New Roman"/>
      <family val="1"/>
    </font>
    <font>
      <sz val="18"/>
      <color theme="7" tint="-0.499984740745262"/>
      <name val="Noto Serif TC Medium"/>
      <family val="1"/>
      <charset val="136"/>
    </font>
    <font>
      <sz val="24"/>
      <color theme="7" tint="-0.499984740745262"/>
      <name val="Iansui 094"/>
      <family val="3"/>
      <charset val="136"/>
    </font>
    <font>
      <sz val="18"/>
      <color theme="7" tint="-0.499984740745262"/>
      <name val="Times New Roman"/>
      <family val="1"/>
    </font>
    <font>
      <sz val="18"/>
      <color rgb="FFFF0000"/>
      <name val="Times New Roman"/>
      <family val="1"/>
    </font>
    <font>
      <sz val="12"/>
      <name val="Noto Sans TC"/>
      <family val="2"/>
    </font>
    <font>
      <sz val="18"/>
      <name val="細明體"/>
      <family val="3"/>
      <charset val="136"/>
    </font>
    <font>
      <b/>
      <sz val="24"/>
      <color rgb="FFC00000"/>
      <name val="Iansui 094"/>
      <family val="3"/>
      <charset val="136"/>
    </font>
    <font>
      <b/>
      <sz val="18"/>
      <color rgb="FFC00000"/>
      <name val="Times New Roman"/>
      <family val="1"/>
    </font>
    <font>
      <sz val="16"/>
      <color rgb="FF000000"/>
      <name val="芫荽 0.94"/>
      <family val="3"/>
      <charset val="136"/>
    </font>
    <font>
      <sz val="24"/>
      <color theme="1"/>
      <name val="Iansui 094"/>
      <family val="3"/>
      <charset val="136"/>
    </font>
    <font>
      <b/>
      <sz val="20"/>
      <color theme="8"/>
      <name val="Times New Roman"/>
      <family val="1"/>
    </font>
    <font>
      <b/>
      <sz val="20"/>
      <color theme="8"/>
      <name val="芫荽 0.94"/>
      <family val="3"/>
      <charset val="136"/>
    </font>
    <font>
      <b/>
      <sz val="20"/>
      <color theme="8"/>
      <name val="芫荽 0.94"/>
      <family val="1"/>
      <charset val="136"/>
    </font>
    <font>
      <sz val="24"/>
      <color theme="8"/>
      <name val="Iansui 094"/>
      <family val="3"/>
      <charset val="136"/>
    </font>
    <font>
      <b/>
      <sz val="12"/>
      <name val="Noto Sans TC"/>
      <family val="2"/>
    </font>
    <font>
      <sz val="16"/>
      <color rgb="FF00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22"/>
      <color theme="1"/>
      <name val="新細明體"/>
      <family val="1"/>
      <scheme val="minor"/>
    </font>
    <font>
      <b/>
      <sz val="22"/>
      <name val="新細明體"/>
      <family val="1"/>
      <charset val="136"/>
    </font>
    <font>
      <sz val="22"/>
      <color theme="1"/>
      <name val="Noto Sans TC"/>
      <family val="2"/>
      <charset val="136"/>
    </font>
    <font>
      <sz val="22"/>
      <color rgb="FFFF0000"/>
      <name val="新細明體"/>
      <family val="1"/>
      <scheme val="minor"/>
    </font>
    <font>
      <sz val="22"/>
      <color rgb="FFFF0000"/>
      <name val="Noto Sans TC"/>
      <family val="2"/>
      <charset val="136"/>
    </font>
    <font>
      <sz val="22"/>
      <color rgb="FFFF0000"/>
      <name val="Noto Sans TC"/>
      <family val="1"/>
      <charset val="134"/>
    </font>
    <font>
      <b/>
      <sz val="22"/>
      <color rgb="FFFF0000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b/>
      <sz val="12"/>
      <color theme="0"/>
      <name val="Noto Sans TC"/>
      <family val="2"/>
    </font>
    <font>
      <b/>
      <sz val="16"/>
      <color theme="0"/>
      <name val="Noto Sans TC"/>
      <family val="2"/>
    </font>
    <font>
      <sz val="16"/>
      <color theme="1"/>
      <name val="Iansui 094"/>
      <family val="3"/>
      <charset val="136"/>
    </font>
    <font>
      <sz val="28"/>
      <name val="Noto Serif TC Medium"/>
      <family val="1"/>
      <charset val="136"/>
    </font>
    <font>
      <sz val="22"/>
      <color rgb="FF000000"/>
      <name val="Noto Sans TC Light"/>
      <family val="2"/>
      <charset val="136"/>
    </font>
    <font>
      <b/>
      <sz val="18"/>
      <color rgb="FF000000"/>
      <name val="Arial"/>
      <family val="2"/>
    </font>
    <font>
      <sz val="16"/>
      <color rgb="FFFF0000"/>
      <name val="Iansui 094"/>
      <family val="3"/>
      <charset val="136"/>
    </font>
    <font>
      <sz val="22"/>
      <name val="宋体"/>
      <family val="3"/>
      <charset val="136"/>
    </font>
    <font>
      <sz val="22"/>
      <color rgb="FFFF0000"/>
      <name val="Arial"/>
      <family val="2"/>
    </font>
    <font>
      <sz val="22"/>
      <name val="宋体"/>
      <charset val="136"/>
    </font>
    <font>
      <sz val="22"/>
      <color rgb="FF000000"/>
      <name val="新細明體"/>
      <family val="1"/>
      <charset val="136"/>
      <scheme val="minor"/>
    </font>
    <font>
      <sz val="22"/>
      <color rgb="FF000000"/>
      <name val="Arial"/>
      <family val="2"/>
    </font>
    <font>
      <sz val="22"/>
      <color rgb="FFFF0000"/>
      <name val="Iansui 094"/>
      <family val="3"/>
      <charset val="136"/>
    </font>
    <font>
      <sz val="16"/>
      <name val="新細明體"/>
      <family val="1"/>
      <charset val="136"/>
      <scheme val="minor"/>
    </font>
    <font>
      <sz val="18"/>
      <color rgb="FF000000"/>
      <name val="Noto Sans TC"/>
      <family val="2"/>
      <charset val="136"/>
    </font>
    <font>
      <sz val="18"/>
      <color theme="0"/>
      <name val="Noto Sans TC"/>
      <family val="2"/>
      <charset val="136"/>
    </font>
    <font>
      <b/>
      <sz val="16"/>
      <name val="Noto Sans TC"/>
      <family val="2"/>
    </font>
    <font>
      <sz val="20"/>
      <color theme="0"/>
      <name val="Iansui 094"/>
      <family val="3"/>
      <charset val="136"/>
    </font>
    <font>
      <sz val="26"/>
      <color rgb="FFFF0000"/>
      <name val="Noto Sans TC"/>
      <family val="2"/>
      <charset val="136"/>
    </font>
    <font>
      <b/>
      <sz val="24"/>
      <color theme="8"/>
      <name val="Microsoft JhengHei"/>
      <family val="2"/>
    </font>
    <font>
      <b/>
      <vertAlign val="subscript"/>
      <sz val="24"/>
      <color theme="8"/>
      <name val="Microsoft JhengHei"/>
      <family val="2"/>
    </font>
    <font>
      <b/>
      <sz val="24"/>
      <color theme="8"/>
      <name val="Microsoft JhengHei"/>
      <family val="1"/>
    </font>
    <font>
      <b/>
      <vertAlign val="superscript"/>
      <sz val="20"/>
      <color theme="8"/>
      <name val="Times New Roman"/>
      <family val="1"/>
    </font>
    <font>
      <sz val="24"/>
      <color rgb="FF000000"/>
      <name val="霞鶩文楷等寬 TC"/>
      <family val="3"/>
      <charset val="136"/>
    </font>
    <font>
      <b/>
      <sz val="24"/>
      <color rgb="FFFF0000"/>
      <name val="霞鶩文楷等寬 TC"/>
      <family val="3"/>
      <charset val="136"/>
    </font>
    <font>
      <sz val="24"/>
      <color rgb="FF000000"/>
      <name val="Noto Sans TC Medium"/>
      <family val="2"/>
      <charset val="136"/>
    </font>
    <font>
      <b/>
      <sz val="24"/>
      <color theme="0"/>
      <name val="霞鶩文楷等寬 TC"/>
      <family val="3"/>
      <charset val="136"/>
    </font>
    <font>
      <b/>
      <sz val="20"/>
      <color rgb="FFFF0000"/>
      <name val="Arial"/>
      <family val="2"/>
    </font>
    <font>
      <b/>
      <sz val="24"/>
      <color rgb="FFFF0000"/>
      <name val="Iansui 094"/>
      <charset val="136"/>
    </font>
    <font>
      <sz val="28"/>
      <color rgb="FF000000"/>
      <name val="新細明體"/>
      <family val="1"/>
      <charset val="136"/>
      <scheme val="minor"/>
    </font>
    <font>
      <sz val="18"/>
      <color rgb="FF000000"/>
      <name val="霞鶩文楷等寬 TC"/>
      <family val="3"/>
      <charset val="136"/>
    </font>
    <font>
      <sz val="24"/>
      <color rgb="FF444444"/>
      <name val="霞鶩文楷等寬 TC"/>
      <family val="3"/>
      <charset val="136"/>
    </font>
    <font>
      <sz val="16"/>
      <color rgb="FFFF0000"/>
      <name val="Noto Sans TC SemiBold"/>
      <family val="2"/>
      <charset val="136"/>
    </font>
    <font>
      <sz val="16"/>
      <color rgb="FF000000"/>
      <name val="Noto Sans TC SemiBold"/>
      <family val="2"/>
      <charset val="136"/>
    </font>
    <font>
      <sz val="24"/>
      <color rgb="FF000000"/>
      <name val="Arial"/>
      <family val="2"/>
    </font>
    <font>
      <sz val="24"/>
      <color rgb="FF000000"/>
      <name val="新細明體"/>
      <family val="1"/>
      <charset val="136"/>
      <scheme val="minor"/>
    </font>
    <font>
      <sz val="24"/>
      <name val="宋体"/>
      <charset val="136"/>
    </font>
    <font>
      <sz val="24"/>
      <name val="Microsoft JhengHei"/>
      <family val="2"/>
      <charset val="136"/>
    </font>
    <font>
      <sz val="24"/>
      <name val="Noto Serif TC Medium"/>
      <family val="1"/>
      <charset val="136"/>
    </font>
    <font>
      <sz val="24"/>
      <name val="Arial"/>
      <family val="2"/>
    </font>
    <font>
      <b/>
      <sz val="24"/>
      <color rgb="FFFF0000"/>
      <name val="Arial"/>
      <family val="2"/>
    </font>
    <font>
      <sz val="36"/>
      <color rgb="FF000000"/>
      <name val="JetBrainsMonoNL NF Medium"/>
      <family val="3"/>
    </font>
    <font>
      <sz val="20"/>
      <color theme="2"/>
      <name val="Arial"/>
      <family val="2"/>
    </font>
    <font>
      <b/>
      <sz val="20"/>
      <color theme="2"/>
      <name val="Arial"/>
      <family val="2"/>
    </font>
    <font>
      <sz val="18"/>
      <color theme="2"/>
      <name val="Arial"/>
      <family val="2"/>
    </font>
    <font>
      <sz val="24"/>
      <color theme="2"/>
      <name val="Arial"/>
      <family val="2"/>
    </font>
    <font>
      <sz val="24"/>
      <color theme="0"/>
      <name val="Iansui 094"/>
      <charset val="136"/>
    </font>
    <font>
      <b/>
      <sz val="24"/>
      <color theme="0"/>
      <name val="Iansui 094"/>
      <charset val="136"/>
    </font>
    <font>
      <sz val="12"/>
      <color theme="0"/>
      <name val="Noto Sans TC"/>
      <family val="2"/>
    </font>
    <font>
      <sz val="22"/>
      <color rgb="FFFF0000"/>
      <name val="Noto Sans TC Light"/>
      <family val="2"/>
      <charset val="136"/>
    </font>
    <font>
      <sz val="18"/>
      <color rgb="FFFF0000"/>
      <name val="Noto Sans TC Medium"/>
      <family val="2"/>
    </font>
    <font>
      <sz val="16"/>
      <color rgb="FF000000"/>
      <name val="Noto Sans TC Medium"/>
      <family val="2"/>
      <charset val="136"/>
    </font>
    <font>
      <sz val="24"/>
      <color theme="0"/>
      <name val="Noto Sans TC Medium"/>
      <family val="2"/>
    </font>
    <font>
      <b/>
      <sz val="16"/>
      <color rgb="FF000000"/>
      <name val="Noto Sans TC Medium"/>
      <family val="2"/>
      <charset val="136"/>
    </font>
    <font>
      <sz val="16"/>
      <color theme="0"/>
      <name val="Noto Sans TC Medium"/>
      <family val="2"/>
    </font>
    <font>
      <b/>
      <sz val="16"/>
      <color theme="7" tint="-0.249977111117893"/>
      <name val="Noto Sans TC Medium"/>
      <family val="2"/>
    </font>
    <font>
      <b/>
      <sz val="18"/>
      <color theme="7" tint="-0.249977111117893"/>
      <name val="宋体"/>
      <charset val="136"/>
    </font>
    <font>
      <b/>
      <sz val="28"/>
      <color theme="7" tint="-0.249977111117893"/>
      <name val="新細明體"/>
      <family val="1"/>
      <charset val="136"/>
      <scheme val="minor"/>
    </font>
    <font>
      <b/>
      <sz val="28"/>
      <color theme="7" tint="-0.249977111117893"/>
      <name val="新細明體"/>
      <family val="1"/>
      <scheme val="minor"/>
    </font>
    <font>
      <sz val="20"/>
      <color theme="0"/>
      <name val="Noto Sans TC Medium"/>
      <family val="2"/>
    </font>
    <font>
      <b/>
      <sz val="24"/>
      <color rgb="FFFF0000"/>
      <name val="Times New Roman"/>
      <family val="1"/>
    </font>
    <font>
      <b/>
      <sz val="20"/>
      <color rgb="FFFF0000"/>
      <name val="Times New Roman"/>
      <family val="1"/>
    </font>
    <font>
      <sz val="24"/>
      <name val="芫荽 0.94"/>
      <family val="3"/>
      <charset val="136"/>
    </font>
    <font>
      <sz val="18"/>
      <color theme="1"/>
      <name val="Noto Sans TC Medium"/>
      <family val="2"/>
      <charset val="136"/>
    </font>
    <font>
      <sz val="16"/>
      <color theme="1"/>
      <name val="Noto Sans TC"/>
      <family val="2"/>
      <charset val="136"/>
    </font>
    <font>
      <sz val="18"/>
      <color theme="1"/>
      <name val="Noto Serif TC Black"/>
      <family val="1"/>
      <charset val="136"/>
    </font>
    <font>
      <sz val="18"/>
      <color rgb="FF000000"/>
      <name val="Noto Sans TC Medium"/>
      <family val="2"/>
    </font>
    <font>
      <sz val="16"/>
      <color rgb="FF000000"/>
      <name val="微軟正黑體"/>
      <family val="2"/>
      <charset val="136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59999389629810485"/>
        <bgColor theme="4" tint="0.59999389629810485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6">
    <xf numFmtId="0" fontId="0" fillId="0" borderId="0"/>
    <xf numFmtId="0" fontId="1" fillId="0" borderId="0"/>
    <xf numFmtId="0" fontId="22" fillId="0" borderId="0"/>
    <xf numFmtId="0" fontId="85" fillId="0" borderId="0"/>
    <xf numFmtId="0" fontId="86" fillId="0" borderId="0"/>
    <xf numFmtId="0" fontId="160" fillId="0" borderId="0">
      <alignment vertical="center"/>
    </xf>
  </cellStyleXfs>
  <cellXfs count="403">
    <xf numFmtId="0" fontId="0" fillId="0" borderId="0" xfId="0"/>
    <xf numFmtId="0" fontId="2" fillId="0" borderId="0" xfId="1" applyFont="1"/>
    <xf numFmtId="0" fontId="4" fillId="0" borderId="0" xfId="1" applyFont="1"/>
    <xf numFmtId="0" fontId="5" fillId="0" borderId="0" xfId="1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 indent="1"/>
    </xf>
    <xf numFmtId="0" fontId="10" fillId="5" borderId="7" xfId="0" applyFont="1" applyFill="1" applyBorder="1" applyAlignment="1">
      <alignment horizontal="left" vertical="center" indent="3"/>
    </xf>
    <xf numFmtId="0" fontId="10" fillId="7" borderId="7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22" fillId="0" borderId="0" xfId="2"/>
    <xf numFmtId="0" fontId="23" fillId="0" borderId="0" xfId="2" applyFont="1"/>
    <xf numFmtId="0" fontId="24" fillId="0" borderId="0" xfId="2" applyFont="1"/>
    <xf numFmtId="0" fontId="25" fillId="0" borderId="0" xfId="2" applyFont="1"/>
    <xf numFmtId="0" fontId="26" fillId="0" borderId="0" xfId="2" applyFont="1"/>
    <xf numFmtId="0" fontId="1" fillId="0" borderId="0" xfId="2" applyFont="1" applyAlignment="1">
      <alignment horizontal="center"/>
    </xf>
    <xf numFmtId="0" fontId="28" fillId="0" borderId="0" xfId="2" applyFont="1"/>
    <xf numFmtId="0" fontId="30" fillId="0" borderId="0" xfId="0" applyFont="1"/>
    <xf numFmtId="0" fontId="31" fillId="0" borderId="0" xfId="2" applyFont="1" applyAlignment="1">
      <alignment horizontal="center"/>
    </xf>
    <xf numFmtId="0" fontId="34" fillId="0" borderId="0" xfId="2" applyFont="1"/>
    <xf numFmtId="0" fontId="30" fillId="0" borderId="0" xfId="2" applyFont="1"/>
    <xf numFmtId="177" fontId="35" fillId="6" borderId="14" xfId="2" applyNumberFormat="1" applyFont="1" applyFill="1" applyBorder="1" applyAlignment="1">
      <alignment horizontal="center" vertical="center"/>
    </xf>
    <xf numFmtId="177" fontId="35" fillId="7" borderId="14" xfId="2" applyNumberFormat="1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177" fontId="37" fillId="6" borderId="16" xfId="2" applyNumberFormat="1" applyFont="1" applyFill="1" applyBorder="1" applyAlignment="1">
      <alignment horizontal="center" vertical="center"/>
    </xf>
    <xf numFmtId="177" fontId="38" fillId="6" borderId="17" xfId="2" applyNumberFormat="1" applyFont="1" applyFill="1" applyBorder="1" applyAlignment="1">
      <alignment vertical="center"/>
    </xf>
    <xf numFmtId="0" fontId="39" fillId="6" borderId="18" xfId="2" applyFont="1" applyFill="1" applyBorder="1" applyAlignment="1">
      <alignment horizontal="center" vertical="center" wrapText="1"/>
    </xf>
    <xf numFmtId="0" fontId="39" fillId="6" borderId="18" xfId="2" applyFont="1" applyFill="1" applyBorder="1" applyAlignment="1">
      <alignment horizontal="center" vertical="center"/>
    </xf>
    <xf numFmtId="177" fontId="37" fillId="7" borderId="16" xfId="2" applyNumberFormat="1" applyFont="1" applyFill="1" applyBorder="1" applyAlignment="1">
      <alignment horizontal="center" vertical="center"/>
    </xf>
    <xf numFmtId="177" fontId="38" fillId="7" borderId="17" xfId="2" applyNumberFormat="1" applyFont="1" applyFill="1" applyBorder="1" applyAlignment="1">
      <alignment vertical="center"/>
    </xf>
    <xf numFmtId="177" fontId="39" fillId="7" borderId="18" xfId="2" applyNumberFormat="1" applyFont="1" applyFill="1" applyBorder="1" applyAlignment="1">
      <alignment horizontal="center" vertical="center" wrapText="1"/>
    </xf>
    <xf numFmtId="0" fontId="37" fillId="7" borderId="17" xfId="2" applyFont="1" applyFill="1" applyBorder="1" applyAlignment="1">
      <alignment vertical="center"/>
    </xf>
    <xf numFmtId="177" fontId="39" fillId="7" borderId="18" xfId="2" applyNumberFormat="1" applyFont="1" applyFill="1" applyBorder="1" applyAlignment="1">
      <alignment horizontal="center" vertical="center"/>
    </xf>
    <xf numFmtId="0" fontId="37" fillId="7" borderId="16" xfId="2" applyFont="1" applyFill="1" applyBorder="1" applyAlignment="1">
      <alignment vertical="center"/>
    </xf>
    <xf numFmtId="0" fontId="41" fillId="7" borderId="18" xfId="2" applyFont="1" applyFill="1" applyBorder="1" applyAlignment="1">
      <alignment vertical="center"/>
    </xf>
    <xf numFmtId="0" fontId="42" fillId="0" borderId="0" xfId="1" applyFont="1"/>
    <xf numFmtId="0" fontId="43" fillId="0" borderId="0" xfId="0" applyFont="1"/>
    <xf numFmtId="177" fontId="37" fillId="6" borderId="16" xfId="2" applyNumberFormat="1" applyFont="1" applyFill="1" applyBorder="1" applyAlignment="1">
      <alignment vertical="center"/>
    </xf>
    <xf numFmtId="177" fontId="44" fillId="6" borderId="18" xfId="2" applyNumberFormat="1" applyFont="1" applyFill="1" applyBorder="1" applyAlignment="1">
      <alignment vertical="center" wrapText="1"/>
    </xf>
    <xf numFmtId="177" fontId="39" fillId="6" borderId="18" xfId="2" applyNumberFormat="1" applyFont="1" applyFill="1" applyBorder="1" applyAlignment="1">
      <alignment horizontal="center" vertical="center"/>
    </xf>
    <xf numFmtId="0" fontId="32" fillId="0" borderId="0" xfId="2" applyFont="1" applyAlignment="1">
      <alignment horizontal="center"/>
    </xf>
    <xf numFmtId="177" fontId="45" fillId="7" borderId="14" xfId="2" applyNumberFormat="1" applyFont="1" applyFill="1" applyBorder="1" applyAlignment="1">
      <alignment horizontal="center" vertical="center"/>
    </xf>
    <xf numFmtId="0" fontId="46" fillId="0" borderId="0" xfId="2" applyFont="1" applyAlignment="1">
      <alignment horizontal="center" vertical="center"/>
    </xf>
    <xf numFmtId="0" fontId="47" fillId="3" borderId="6" xfId="2" applyFont="1" applyFill="1" applyBorder="1" applyAlignment="1">
      <alignment vertical="center"/>
    </xf>
    <xf numFmtId="0" fontId="47" fillId="3" borderId="8" xfId="2" applyFont="1" applyFill="1" applyBorder="1" applyAlignment="1">
      <alignment vertical="center"/>
    </xf>
    <xf numFmtId="0" fontId="48" fillId="9" borderId="9" xfId="2" applyFont="1" applyFill="1" applyBorder="1" applyAlignment="1">
      <alignment horizontal="center" vertical="center"/>
    </xf>
    <xf numFmtId="0" fontId="2" fillId="9" borderId="9" xfId="2" applyFont="1" applyFill="1" applyBorder="1" applyAlignment="1">
      <alignment horizontal="center" vertical="center"/>
    </xf>
    <xf numFmtId="0" fontId="49" fillId="9" borderId="9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0" fillId="7" borderId="6" xfId="2" applyFont="1" applyFill="1" applyBorder="1" applyAlignment="1">
      <alignment vertical="center"/>
    </xf>
    <xf numFmtId="0" fontId="50" fillId="7" borderId="8" xfId="2" applyFont="1" applyFill="1" applyBorder="1" applyAlignment="1">
      <alignment vertical="center"/>
    </xf>
    <xf numFmtId="0" fontId="51" fillId="7" borderId="9" xfId="2" applyFont="1" applyFill="1" applyBorder="1" applyAlignment="1">
      <alignment horizontal="center" vertical="center"/>
    </xf>
    <xf numFmtId="0" fontId="50" fillId="12" borderId="8" xfId="2" applyFont="1" applyFill="1" applyBorder="1" applyAlignment="1">
      <alignment vertical="center"/>
    </xf>
    <xf numFmtId="0" fontId="51" fillId="12" borderId="9" xfId="2" applyFont="1" applyFill="1" applyBorder="1" applyAlignment="1">
      <alignment horizontal="center" vertical="center"/>
    </xf>
    <xf numFmtId="0" fontId="50" fillId="5" borderId="6" xfId="2" applyFont="1" applyFill="1" applyBorder="1" applyAlignment="1">
      <alignment vertical="center"/>
    </xf>
    <xf numFmtId="0" fontId="50" fillId="5" borderId="8" xfId="2" applyFont="1" applyFill="1" applyBorder="1" applyAlignment="1">
      <alignment vertical="center"/>
    </xf>
    <xf numFmtId="0" fontId="51" fillId="5" borderId="9" xfId="2" applyFont="1" applyFill="1" applyBorder="1" applyAlignment="1">
      <alignment horizontal="center" vertical="center"/>
    </xf>
    <xf numFmtId="0" fontId="26" fillId="0" borderId="0" xfId="2" applyFont="1" applyAlignment="1">
      <alignment vertical="center"/>
    </xf>
    <xf numFmtId="0" fontId="55" fillId="0" borderId="0" xfId="1" applyFont="1"/>
    <xf numFmtId="0" fontId="26" fillId="0" borderId="0" xfId="1" applyFont="1"/>
    <xf numFmtId="0" fontId="26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58" fillId="13" borderId="0" xfId="2" applyFont="1" applyFill="1" applyAlignment="1">
      <alignment vertical="center"/>
    </xf>
    <xf numFmtId="0" fontId="26" fillId="13" borderId="0" xfId="2" applyFont="1" applyFill="1" applyAlignment="1">
      <alignment vertical="center"/>
    </xf>
    <xf numFmtId="0" fontId="61" fillId="13" borderId="0" xfId="2" applyFont="1" applyFill="1" applyAlignment="1">
      <alignment vertical="center"/>
    </xf>
    <xf numFmtId="0" fontId="26" fillId="14" borderId="0" xfId="2" applyFont="1" applyFill="1" applyAlignment="1">
      <alignment vertical="center"/>
    </xf>
    <xf numFmtId="0" fontId="61" fillId="14" borderId="0" xfId="2" applyFont="1" applyFill="1" applyAlignment="1">
      <alignment vertical="center"/>
    </xf>
    <xf numFmtId="0" fontId="26" fillId="15" borderId="0" xfId="2" applyFont="1" applyFill="1"/>
    <xf numFmtId="0" fontId="11" fillId="2" borderId="0" xfId="1" applyFont="1" applyFill="1" applyAlignment="1">
      <alignment vertical="center"/>
    </xf>
    <xf numFmtId="0" fontId="26" fillId="2" borderId="0" xfId="1" applyFont="1" applyFill="1" applyAlignment="1">
      <alignment vertical="center"/>
    </xf>
    <xf numFmtId="0" fontId="55" fillId="0" borderId="0" xfId="1" applyFont="1" applyAlignment="1">
      <alignment vertical="center"/>
    </xf>
    <xf numFmtId="0" fontId="64" fillId="14" borderId="0" xfId="1" applyFont="1" applyFill="1" applyAlignment="1">
      <alignment vertical="center"/>
    </xf>
    <xf numFmtId="0" fontId="26" fillId="14" borderId="0" xfId="1" applyFont="1" applyFill="1" applyAlignment="1">
      <alignment horizontal="center" vertical="center"/>
    </xf>
    <xf numFmtId="0" fontId="26" fillId="14" borderId="0" xfId="1" applyFont="1" applyFill="1" applyAlignment="1">
      <alignment vertical="center"/>
    </xf>
    <xf numFmtId="0" fontId="65" fillId="11" borderId="0" xfId="1" applyFont="1" applyFill="1" applyAlignment="1">
      <alignment vertical="center"/>
    </xf>
    <xf numFmtId="0" fontId="65" fillId="11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26" fillId="2" borderId="0" xfId="2" applyFont="1" applyFill="1"/>
    <xf numFmtId="0" fontId="22" fillId="0" borderId="0" xfId="2" applyAlignment="1">
      <alignment vertical="center"/>
    </xf>
    <xf numFmtId="0" fontId="53" fillId="16" borderId="6" xfId="2" applyFont="1" applyFill="1" applyBorder="1" applyAlignment="1">
      <alignment vertical="center"/>
    </xf>
    <xf numFmtId="0" fontId="52" fillId="16" borderId="8" xfId="2" applyFont="1" applyFill="1" applyBorder="1" applyAlignment="1">
      <alignment vertical="center"/>
    </xf>
    <xf numFmtId="0" fontId="54" fillId="16" borderId="9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" fillId="0" borderId="0" xfId="1" applyFont="1" applyAlignment="1">
      <alignment horizontal="left" vertical="center" indent="1"/>
    </xf>
    <xf numFmtId="0" fontId="4" fillId="0" borderId="0" xfId="1" applyFont="1" applyAlignment="1">
      <alignment vertical="center"/>
    </xf>
    <xf numFmtId="0" fontId="66" fillId="0" borderId="0" xfId="1" applyFont="1" applyAlignment="1">
      <alignment vertical="center"/>
    </xf>
    <xf numFmtId="0" fontId="66" fillId="6" borderId="3" xfId="0" applyFont="1" applyFill="1" applyBorder="1" applyAlignment="1">
      <alignment horizontal="center" vertical="center"/>
    </xf>
    <xf numFmtId="0" fontId="80" fillId="5" borderId="1" xfId="0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4" borderId="2" xfId="0" applyFont="1" applyFill="1" applyBorder="1" applyAlignment="1">
      <alignment horizontal="center" vertical="center"/>
    </xf>
    <xf numFmtId="0" fontId="80" fillId="5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75" fillId="12" borderId="6" xfId="2" applyFont="1" applyFill="1" applyBorder="1" applyAlignment="1">
      <alignment vertical="center"/>
    </xf>
    <xf numFmtId="177" fontId="39" fillId="6" borderId="18" xfId="2" applyNumberFormat="1" applyFont="1" applyFill="1" applyBorder="1" applyAlignment="1">
      <alignment horizontal="center" vertical="center" wrapText="1"/>
    </xf>
    <xf numFmtId="0" fontId="32" fillId="6" borderId="15" xfId="2" applyFont="1" applyFill="1" applyBorder="1" applyAlignment="1">
      <alignment horizontal="center" vertical="center"/>
    </xf>
    <xf numFmtId="0" fontId="32" fillId="6" borderId="0" xfId="2" applyFont="1" applyFill="1" applyAlignment="1">
      <alignment horizontal="center" vertical="center"/>
    </xf>
    <xf numFmtId="0" fontId="36" fillId="6" borderId="15" xfId="2" applyFont="1" applyFill="1" applyBorder="1" applyAlignment="1">
      <alignment horizontal="center" vertical="center"/>
    </xf>
    <xf numFmtId="0" fontId="32" fillId="6" borderId="14" xfId="2" applyFont="1" applyFill="1" applyBorder="1" applyAlignment="1">
      <alignment horizontal="center" vertical="center"/>
    </xf>
    <xf numFmtId="0" fontId="32" fillId="10" borderId="14" xfId="2" applyFont="1" applyFill="1" applyBorder="1" applyAlignment="1">
      <alignment horizontal="center" vertical="center"/>
    </xf>
    <xf numFmtId="0" fontId="32" fillId="10" borderId="0" xfId="2" applyFont="1" applyFill="1" applyAlignment="1">
      <alignment horizontal="center" vertical="center"/>
    </xf>
    <xf numFmtId="0" fontId="32" fillId="10" borderId="15" xfId="2" applyFont="1" applyFill="1" applyBorder="1" applyAlignment="1">
      <alignment horizontal="center" vertical="center"/>
    </xf>
    <xf numFmtId="9" fontId="32" fillId="10" borderId="14" xfId="2" applyNumberFormat="1" applyFont="1" applyFill="1" applyBorder="1" applyAlignment="1">
      <alignment horizontal="center" vertical="center"/>
    </xf>
    <xf numFmtId="9" fontId="32" fillId="10" borderId="0" xfId="2" applyNumberFormat="1" applyFont="1" applyFill="1" applyAlignment="1">
      <alignment horizontal="center" vertical="center"/>
    </xf>
    <xf numFmtId="9" fontId="32" fillId="10" borderId="15" xfId="2" applyNumberFormat="1" applyFont="1" applyFill="1" applyBorder="1" applyAlignment="1">
      <alignment horizontal="center" vertical="center"/>
    </xf>
    <xf numFmtId="0" fontId="32" fillId="7" borderId="0" xfId="2" applyFont="1" applyFill="1" applyAlignment="1">
      <alignment horizontal="center" vertical="center"/>
    </xf>
    <xf numFmtId="177" fontId="36" fillId="7" borderId="15" xfId="2" applyNumberFormat="1" applyFont="1" applyFill="1" applyBorder="1" applyAlignment="1">
      <alignment horizontal="center" vertical="center"/>
    </xf>
    <xf numFmtId="177" fontId="32" fillId="7" borderId="0" xfId="2" applyNumberFormat="1" applyFont="1" applyFill="1" applyAlignment="1">
      <alignment horizontal="center" vertical="center"/>
    </xf>
    <xf numFmtId="0" fontId="32" fillId="7" borderId="14" xfId="2" applyFont="1" applyFill="1" applyBorder="1" applyAlignment="1">
      <alignment horizontal="center" vertical="center"/>
    </xf>
    <xf numFmtId="0" fontId="32" fillId="7" borderId="15" xfId="2" applyFont="1" applyFill="1" applyBorder="1" applyAlignment="1">
      <alignment horizontal="center" vertical="center"/>
    </xf>
    <xf numFmtId="0" fontId="33" fillId="7" borderId="14" xfId="2" applyFont="1" applyFill="1" applyBorder="1" applyAlignment="1">
      <alignment horizontal="center" vertical="center"/>
    </xf>
    <xf numFmtId="0" fontId="33" fillId="7" borderId="0" xfId="2" applyFont="1" applyFill="1" applyAlignment="1">
      <alignment horizontal="center" vertical="center"/>
    </xf>
    <xf numFmtId="0" fontId="33" fillId="7" borderId="15" xfId="2" applyFont="1" applyFill="1" applyBorder="1" applyAlignment="1">
      <alignment horizontal="center" vertical="center"/>
    </xf>
    <xf numFmtId="177" fontId="32" fillId="6" borderId="14" xfId="2" applyNumberFormat="1" applyFont="1" applyFill="1" applyBorder="1" applyAlignment="1">
      <alignment horizontal="center" vertical="center"/>
    </xf>
    <xf numFmtId="177" fontId="32" fillId="6" borderId="15" xfId="2" applyNumberFormat="1" applyFont="1" applyFill="1" applyBorder="1" applyAlignment="1">
      <alignment horizontal="center" vertical="center"/>
    </xf>
    <xf numFmtId="177" fontId="32" fillId="6" borderId="0" xfId="2" applyNumberFormat="1" applyFont="1" applyFill="1" applyAlignment="1">
      <alignment horizontal="center" vertical="center"/>
    </xf>
    <xf numFmtId="177" fontId="32" fillId="7" borderId="0" xfId="2" applyNumberFormat="1" applyFont="1" applyFill="1" applyAlignment="1">
      <alignment horizontal="right" vertical="center"/>
    </xf>
    <xf numFmtId="177" fontId="36" fillId="7" borderId="15" xfId="2" applyNumberFormat="1" applyFont="1" applyFill="1" applyBorder="1" applyAlignment="1">
      <alignment horizontal="right" vertical="center"/>
    </xf>
    <xf numFmtId="0" fontId="8" fillId="0" borderId="0" xfId="2" applyFont="1"/>
    <xf numFmtId="0" fontId="8" fillId="2" borderId="0" xfId="2" applyFont="1" applyFill="1"/>
    <xf numFmtId="0" fontId="84" fillId="5" borderId="19" xfId="0" applyFont="1" applyFill="1" applyBorder="1" applyAlignment="1">
      <alignment horizontal="center" vertical="center"/>
    </xf>
    <xf numFmtId="0" fontId="84" fillId="4" borderId="19" xfId="0" applyFont="1" applyFill="1" applyBorder="1" applyAlignment="1">
      <alignment horizontal="center" vertical="center"/>
    </xf>
    <xf numFmtId="0" fontId="85" fillId="0" borderId="0" xfId="3"/>
    <xf numFmtId="0" fontId="9" fillId="2" borderId="20" xfId="3" applyFont="1" applyFill="1" applyBorder="1" applyAlignment="1">
      <alignment horizontal="left" vertical="center" indent="1"/>
    </xf>
    <xf numFmtId="0" fontId="10" fillId="7" borderId="19" xfId="3" applyFont="1" applyFill="1" applyBorder="1" applyAlignment="1">
      <alignment horizontal="center" vertical="center"/>
    </xf>
    <xf numFmtId="0" fontId="66" fillId="6" borderId="19" xfId="3" applyFont="1" applyFill="1" applyBorder="1" applyAlignment="1">
      <alignment horizontal="center" vertical="center"/>
    </xf>
    <xf numFmtId="0" fontId="80" fillId="5" borderId="19" xfId="3" applyFont="1" applyFill="1" applyBorder="1" applyAlignment="1">
      <alignment horizontal="left" vertical="center" indent="2"/>
    </xf>
    <xf numFmtId="0" fontId="9" fillId="2" borderId="21" xfId="3" applyFont="1" applyFill="1" applyBorder="1" applyAlignment="1">
      <alignment horizontal="left" vertical="center" indent="1"/>
    </xf>
    <xf numFmtId="0" fontId="10" fillId="7" borderId="2" xfId="3" applyFont="1" applyFill="1" applyBorder="1" applyAlignment="1">
      <alignment horizontal="center" vertical="center"/>
    </xf>
    <xf numFmtId="0" fontId="66" fillId="6" borderId="2" xfId="3" applyFont="1" applyFill="1" applyBorder="1" applyAlignment="1">
      <alignment horizontal="center" vertical="center"/>
    </xf>
    <xf numFmtId="0" fontId="80" fillId="5" borderId="2" xfId="3" applyFont="1" applyFill="1" applyBorder="1" applyAlignment="1">
      <alignment horizontal="left" vertical="center" indent="2"/>
    </xf>
    <xf numFmtId="0" fontId="9" fillId="2" borderId="22" xfId="3" applyFont="1" applyFill="1" applyBorder="1" applyAlignment="1">
      <alignment horizontal="left" vertical="center" indent="1"/>
    </xf>
    <xf numFmtId="0" fontId="10" fillId="7" borderId="23" xfId="3" applyFont="1" applyFill="1" applyBorder="1" applyAlignment="1">
      <alignment horizontal="center" vertical="center"/>
    </xf>
    <xf numFmtId="0" fontId="66" fillId="6" borderId="23" xfId="3" applyFont="1" applyFill="1" applyBorder="1" applyAlignment="1">
      <alignment horizontal="center" vertical="center"/>
    </xf>
    <xf numFmtId="0" fontId="80" fillId="5" borderId="23" xfId="3" applyFont="1" applyFill="1" applyBorder="1" applyAlignment="1">
      <alignment horizontal="left" vertical="center" indent="2"/>
    </xf>
    <xf numFmtId="0" fontId="67" fillId="7" borderId="23" xfId="3" applyFont="1" applyFill="1" applyBorder="1" applyAlignment="1">
      <alignment horizontal="center" vertical="center"/>
    </xf>
    <xf numFmtId="0" fontId="69" fillId="6" borderId="23" xfId="3" applyFont="1" applyFill="1" applyBorder="1" applyAlignment="1">
      <alignment horizontal="center" vertical="center"/>
    </xf>
    <xf numFmtId="0" fontId="70" fillId="7" borderId="19" xfId="3" applyFont="1" applyFill="1" applyBorder="1" applyAlignment="1">
      <alignment horizontal="center" vertical="center"/>
    </xf>
    <xf numFmtId="0" fontId="72" fillId="6" borderId="19" xfId="3" applyFont="1" applyFill="1" applyBorder="1" applyAlignment="1">
      <alignment horizontal="center" vertical="center"/>
    </xf>
    <xf numFmtId="0" fontId="67" fillId="7" borderId="19" xfId="3" applyFont="1" applyFill="1" applyBorder="1" applyAlignment="1">
      <alignment horizontal="center" vertical="center"/>
    </xf>
    <xf numFmtId="0" fontId="69" fillId="6" borderId="19" xfId="3" applyFont="1" applyFill="1" applyBorder="1" applyAlignment="1">
      <alignment horizontal="center" vertical="center"/>
    </xf>
    <xf numFmtId="0" fontId="67" fillId="7" borderId="2" xfId="3" applyFont="1" applyFill="1" applyBorder="1" applyAlignment="1">
      <alignment horizontal="center" vertical="center"/>
    </xf>
    <xf numFmtId="0" fontId="69" fillId="6" borderId="2" xfId="3" applyFont="1" applyFill="1" applyBorder="1" applyAlignment="1">
      <alignment horizontal="center" vertical="center"/>
    </xf>
    <xf numFmtId="0" fontId="14" fillId="9" borderId="20" xfId="3" applyFont="1" applyFill="1" applyBorder="1" applyAlignment="1">
      <alignment horizontal="left" vertical="center" indent="1"/>
    </xf>
    <xf numFmtId="0" fontId="80" fillId="5" borderId="19" xfId="3" applyFont="1" applyFill="1" applyBorder="1" applyAlignment="1">
      <alignment horizontal="center" vertical="center"/>
    </xf>
    <xf numFmtId="0" fontId="14" fillId="9" borderId="21" xfId="3" applyFont="1" applyFill="1" applyBorder="1" applyAlignment="1">
      <alignment horizontal="left" vertical="center" indent="1"/>
    </xf>
    <xf numFmtId="0" fontId="80" fillId="5" borderId="2" xfId="3" applyFont="1" applyFill="1" applyBorder="1" applyAlignment="1">
      <alignment horizontal="center" vertical="center"/>
    </xf>
    <xf numFmtId="0" fontId="14" fillId="9" borderId="4" xfId="3" applyFont="1" applyFill="1" applyBorder="1" applyAlignment="1">
      <alignment horizontal="left" vertical="center" indent="1"/>
    </xf>
    <xf numFmtId="0" fontId="17" fillId="7" borderId="2" xfId="3" applyFont="1" applyFill="1" applyBorder="1" applyAlignment="1">
      <alignment horizontal="center" vertical="center"/>
    </xf>
    <xf numFmtId="176" fontId="73" fillId="6" borderId="2" xfId="3" applyNumberFormat="1" applyFont="1" applyFill="1" applyBorder="1" applyAlignment="1">
      <alignment horizontal="center" vertical="center"/>
    </xf>
    <xf numFmtId="0" fontId="9" fillId="7" borderId="2" xfId="3" applyFont="1" applyFill="1" applyBorder="1" applyAlignment="1">
      <alignment horizontal="center" vertical="center"/>
    </xf>
    <xf numFmtId="0" fontId="77" fillId="6" borderId="2" xfId="3" applyFont="1" applyFill="1" applyBorder="1" applyAlignment="1">
      <alignment horizontal="center" vertical="center"/>
    </xf>
    <xf numFmtId="0" fontId="82" fillId="5" borderId="2" xfId="3" applyFont="1" applyFill="1" applyBorder="1" applyAlignment="1">
      <alignment horizontal="center" vertical="center"/>
    </xf>
    <xf numFmtId="0" fontId="14" fillId="9" borderId="22" xfId="3" applyFont="1" applyFill="1" applyBorder="1" applyAlignment="1">
      <alignment horizontal="left" vertical="center" indent="1"/>
    </xf>
    <xf numFmtId="0" fontId="80" fillId="5" borderId="23" xfId="3" applyFont="1" applyFill="1" applyBorder="1" applyAlignment="1">
      <alignment horizontal="center" vertical="center"/>
    </xf>
    <xf numFmtId="0" fontId="10" fillId="7" borderId="2" xfId="3" quotePrefix="1" applyFont="1" applyFill="1" applyBorder="1" applyAlignment="1">
      <alignment horizontal="center" vertical="center"/>
    </xf>
    <xf numFmtId="0" fontId="85" fillId="0" borderId="0" xfId="3" applyAlignment="1">
      <alignment horizontal="left" vertical="center"/>
    </xf>
    <xf numFmtId="0" fontId="87" fillId="0" borderId="9" xfId="4" applyFont="1" applyBorder="1"/>
    <xf numFmtId="0" fontId="88" fillId="0" borderId="9" xfId="4" applyFont="1" applyBorder="1" applyAlignment="1">
      <alignment horizontal="center" vertical="center"/>
    </xf>
    <xf numFmtId="0" fontId="87" fillId="0" borderId="0" xfId="4" applyFont="1"/>
    <xf numFmtId="0" fontId="89" fillId="0" borderId="0" xfId="4" applyFont="1"/>
    <xf numFmtId="0" fontId="90" fillId="0" borderId="0" xfId="4" applyFont="1"/>
    <xf numFmtId="0" fontId="91" fillId="0" borderId="0" xfId="4" applyFont="1"/>
    <xf numFmtId="0" fontId="92" fillId="0" borderId="0" xfId="4" applyFont="1"/>
    <xf numFmtId="0" fontId="93" fillId="0" borderId="0" xfId="4" applyFont="1"/>
    <xf numFmtId="0" fontId="87" fillId="17" borderId="0" xfId="4" applyFont="1" applyFill="1"/>
    <xf numFmtId="0" fontId="89" fillId="17" borderId="0" xfId="4" applyFont="1" applyFill="1"/>
    <xf numFmtId="0" fontId="94" fillId="0" borderId="0" xfId="4" applyFont="1"/>
    <xf numFmtId="0" fontId="95" fillId="0" borderId="0" xfId="4" applyFont="1"/>
    <xf numFmtId="0" fontId="79" fillId="18" borderId="19" xfId="3" applyFont="1" applyFill="1" applyBorder="1" applyAlignment="1">
      <alignment horizontal="center" vertical="center"/>
    </xf>
    <xf numFmtId="0" fontId="79" fillId="18" borderId="19" xfId="3" applyFont="1" applyFill="1" applyBorder="1" applyAlignment="1">
      <alignment horizontal="left" vertical="center"/>
    </xf>
    <xf numFmtId="0" fontId="79" fillId="18" borderId="2" xfId="3" applyFont="1" applyFill="1" applyBorder="1" applyAlignment="1">
      <alignment horizontal="center" vertical="center"/>
    </xf>
    <xf numFmtId="0" fontId="79" fillId="18" borderId="2" xfId="3" applyFont="1" applyFill="1" applyBorder="1" applyAlignment="1">
      <alignment horizontal="left" vertical="center"/>
    </xf>
    <xf numFmtId="0" fontId="79" fillId="18" borderId="23" xfId="3" applyFont="1" applyFill="1" applyBorder="1" applyAlignment="1">
      <alignment horizontal="center" vertical="center"/>
    </xf>
    <xf numFmtId="0" fontId="79" fillId="18" borderId="23" xfId="3" applyFont="1" applyFill="1" applyBorder="1" applyAlignment="1">
      <alignment horizontal="left" vertical="center"/>
    </xf>
    <xf numFmtId="0" fontId="68" fillId="18" borderId="23" xfId="3" applyFont="1" applyFill="1" applyBorder="1" applyAlignment="1">
      <alignment horizontal="center" vertical="center"/>
    </xf>
    <xf numFmtId="0" fontId="71" fillId="18" borderId="19" xfId="3" applyFont="1" applyFill="1" applyBorder="1" applyAlignment="1">
      <alignment horizontal="center" vertical="center"/>
    </xf>
    <xf numFmtId="0" fontId="71" fillId="18" borderId="19" xfId="3" applyFont="1" applyFill="1" applyBorder="1" applyAlignment="1">
      <alignment horizontal="left" vertical="center"/>
    </xf>
    <xf numFmtId="0" fontId="68" fillId="18" borderId="19" xfId="3" applyFont="1" applyFill="1" applyBorder="1" applyAlignment="1">
      <alignment horizontal="center" vertical="center"/>
    </xf>
    <xf numFmtId="0" fontId="68" fillId="18" borderId="19" xfId="3" applyFont="1" applyFill="1" applyBorder="1" applyAlignment="1">
      <alignment horizontal="left" vertical="center"/>
    </xf>
    <xf numFmtId="0" fontId="68" fillId="18" borderId="2" xfId="3" applyFont="1" applyFill="1" applyBorder="1" applyAlignment="1">
      <alignment horizontal="center" vertical="center"/>
    </xf>
    <xf numFmtId="0" fontId="68" fillId="18" borderId="2" xfId="3" applyFont="1" applyFill="1" applyBorder="1" applyAlignment="1">
      <alignment horizontal="left" vertical="center"/>
    </xf>
    <xf numFmtId="0" fontId="68" fillId="18" borderId="23" xfId="3" applyFont="1" applyFill="1" applyBorder="1" applyAlignment="1">
      <alignment horizontal="left" vertical="center"/>
    </xf>
    <xf numFmtId="0" fontId="76" fillId="18" borderId="2" xfId="3" applyFont="1" applyFill="1" applyBorder="1" applyAlignment="1">
      <alignment horizontal="center" vertical="center"/>
    </xf>
    <xf numFmtId="0" fontId="76" fillId="18" borderId="2" xfId="3" applyFont="1" applyFill="1" applyBorder="1" applyAlignment="1">
      <alignment horizontal="left" vertical="center"/>
    </xf>
    <xf numFmtId="0" fontId="15" fillId="18" borderId="2" xfId="3" applyFont="1" applyFill="1" applyBorder="1" applyAlignment="1">
      <alignment horizontal="center" vertical="center"/>
    </xf>
    <xf numFmtId="0" fontId="15" fillId="18" borderId="2" xfId="3" applyFont="1" applyFill="1" applyBorder="1" applyAlignment="1">
      <alignment horizontal="left" vertical="center"/>
    </xf>
    <xf numFmtId="0" fontId="96" fillId="19" borderId="24" xfId="3" applyFont="1" applyFill="1" applyBorder="1" applyAlignment="1">
      <alignment horizontal="center" vertical="center"/>
    </xf>
    <xf numFmtId="0" fontId="96" fillId="19" borderId="19" xfId="3" applyFont="1" applyFill="1" applyBorder="1" applyAlignment="1">
      <alignment horizontal="center" vertical="center"/>
    </xf>
    <xf numFmtId="0" fontId="96" fillId="16" borderId="19" xfId="3" applyFont="1" applyFill="1" applyBorder="1" applyAlignment="1">
      <alignment horizontal="center" vertical="center"/>
    </xf>
    <xf numFmtId="0" fontId="79" fillId="18" borderId="27" xfId="3" applyFont="1" applyFill="1" applyBorder="1" applyAlignment="1">
      <alignment horizontal="center" vertical="center"/>
    </xf>
    <xf numFmtId="0" fontId="10" fillId="7" borderId="27" xfId="3" applyFont="1" applyFill="1" applyBorder="1" applyAlignment="1">
      <alignment horizontal="center" vertical="center"/>
    </xf>
    <xf numFmtId="0" fontId="79" fillId="18" borderId="26" xfId="3" applyFont="1" applyFill="1" applyBorder="1" applyAlignment="1">
      <alignment horizontal="center" vertical="center"/>
    </xf>
    <xf numFmtId="0" fontId="79" fillId="2" borderId="19" xfId="3" applyFont="1" applyFill="1" applyBorder="1" applyAlignment="1">
      <alignment horizontal="center" vertical="center"/>
    </xf>
    <xf numFmtId="0" fontId="79" fillId="2" borderId="2" xfId="3" applyFont="1" applyFill="1" applyBorder="1" applyAlignment="1">
      <alignment horizontal="center" vertical="center"/>
    </xf>
    <xf numFmtId="0" fontId="79" fillId="2" borderId="27" xfId="3" applyFont="1" applyFill="1" applyBorder="1" applyAlignment="1">
      <alignment horizontal="center" vertical="center"/>
    </xf>
    <xf numFmtId="0" fontId="79" fillId="2" borderId="23" xfId="3" applyFont="1" applyFill="1" applyBorder="1" applyAlignment="1">
      <alignment horizontal="center" vertical="center"/>
    </xf>
    <xf numFmtId="0" fontId="10" fillId="7" borderId="26" xfId="3" quotePrefix="1" applyFont="1" applyFill="1" applyBorder="1" applyAlignment="1">
      <alignment horizontal="center" vertical="center"/>
    </xf>
    <xf numFmtId="0" fontId="66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66" fillId="5" borderId="5" xfId="0" applyFont="1" applyFill="1" applyBorder="1" applyAlignment="1">
      <alignment horizontal="left" vertical="center" indent="1"/>
    </xf>
    <xf numFmtId="0" fontId="80" fillId="5" borderId="2" xfId="0" quotePrefix="1" applyFont="1" applyFill="1" applyBorder="1" applyAlignment="1">
      <alignment horizontal="center" vertical="center"/>
    </xf>
    <xf numFmtId="0" fontId="66" fillId="5" borderId="5" xfId="0" quotePrefix="1" applyFont="1" applyFill="1" applyBorder="1" applyAlignment="1">
      <alignment horizontal="left" vertical="center" indent="1"/>
    </xf>
    <xf numFmtId="0" fontId="97" fillId="16" borderId="19" xfId="3" applyFont="1" applyFill="1" applyBorder="1" applyAlignment="1">
      <alignment horizontal="center" vertical="center"/>
    </xf>
    <xf numFmtId="0" fontId="98" fillId="18" borderId="19" xfId="3" applyFont="1" applyFill="1" applyBorder="1" applyAlignment="1">
      <alignment horizontal="left" vertical="center"/>
    </xf>
    <xf numFmtId="0" fontId="98" fillId="18" borderId="2" xfId="3" applyFont="1" applyFill="1" applyBorder="1" applyAlignment="1">
      <alignment horizontal="left" vertical="center"/>
    </xf>
    <xf numFmtId="0" fontId="98" fillId="18" borderId="27" xfId="3" applyFont="1" applyFill="1" applyBorder="1" applyAlignment="1">
      <alignment horizontal="left" vertical="center"/>
    </xf>
    <xf numFmtId="0" fontId="98" fillId="18" borderId="23" xfId="3" applyFont="1" applyFill="1" applyBorder="1" applyAlignment="1">
      <alignment horizontal="left" vertical="center"/>
    </xf>
    <xf numFmtId="0" fontId="98" fillId="18" borderId="26" xfId="3" applyFont="1" applyFill="1" applyBorder="1" applyAlignment="1">
      <alignment horizontal="left" vertical="center"/>
    </xf>
    <xf numFmtId="0" fontId="84" fillId="6" borderId="19" xfId="0" applyFont="1" applyFill="1" applyBorder="1" applyAlignment="1">
      <alignment horizontal="center" vertical="center"/>
    </xf>
    <xf numFmtId="0" fontId="84" fillId="7" borderId="19" xfId="0" applyFont="1" applyFill="1" applyBorder="1" applyAlignment="1">
      <alignment horizontal="center" vertical="center"/>
    </xf>
    <xf numFmtId="0" fontId="84" fillId="5" borderId="25" xfId="0" applyFont="1" applyFill="1" applyBorder="1" applyAlignment="1">
      <alignment horizontal="center" vertical="center"/>
    </xf>
    <xf numFmtId="0" fontId="16" fillId="7" borderId="27" xfId="3" applyFont="1" applyFill="1" applyBorder="1" applyAlignment="1">
      <alignment horizontal="center" vertical="center"/>
    </xf>
    <xf numFmtId="0" fontId="13" fillId="7" borderId="27" xfId="3" applyFont="1" applyFill="1" applyBorder="1" applyAlignment="1">
      <alignment horizontal="center" vertical="center"/>
    </xf>
    <xf numFmtId="0" fontId="97" fillId="0" borderId="0" xfId="3" applyFont="1" applyAlignment="1">
      <alignment horizontal="center" vertical="center"/>
    </xf>
    <xf numFmtId="0" fontId="98" fillId="0" borderId="0" xfId="3" applyFont="1" applyAlignment="1">
      <alignment horizontal="left" vertical="center"/>
    </xf>
    <xf numFmtId="0" fontId="96" fillId="19" borderId="9" xfId="3" applyFont="1" applyFill="1" applyBorder="1" applyAlignment="1">
      <alignment horizontal="center" vertical="center"/>
    </xf>
    <xf numFmtId="0" fontId="85" fillId="0" borderId="9" xfId="3" quotePrefix="1" applyBorder="1"/>
    <xf numFmtId="0" fontId="40" fillId="10" borderId="16" xfId="2" applyFont="1" applyFill="1" applyBorder="1" applyAlignment="1">
      <alignment vertical="center"/>
    </xf>
    <xf numFmtId="0" fontId="40" fillId="10" borderId="17" xfId="2" applyFont="1" applyFill="1" applyBorder="1" applyAlignment="1">
      <alignment vertical="center"/>
    </xf>
    <xf numFmtId="0" fontId="12" fillId="10" borderId="16" xfId="2" applyFont="1" applyFill="1" applyBorder="1" applyAlignment="1">
      <alignment vertical="center"/>
    </xf>
    <xf numFmtId="0" fontId="12" fillId="10" borderId="17" xfId="2" applyFont="1" applyFill="1" applyBorder="1" applyAlignment="1">
      <alignment vertical="center"/>
    </xf>
    <xf numFmtId="0" fontId="32" fillId="6" borderId="11" xfId="2" applyFont="1" applyFill="1" applyBorder="1" applyAlignment="1">
      <alignment horizontal="centerContinuous"/>
    </xf>
    <xf numFmtId="0" fontId="32" fillId="6" borderId="12" xfId="2" applyFont="1" applyFill="1" applyBorder="1" applyAlignment="1">
      <alignment horizontal="centerContinuous"/>
    </xf>
    <xf numFmtId="0" fontId="32" fillId="6" borderId="13" xfId="2" applyFont="1" applyFill="1" applyBorder="1" applyAlignment="1">
      <alignment horizontal="centerContinuous"/>
    </xf>
    <xf numFmtId="0" fontId="32" fillId="10" borderId="11" xfId="2" applyFont="1" applyFill="1" applyBorder="1" applyAlignment="1">
      <alignment horizontal="centerContinuous"/>
    </xf>
    <xf numFmtId="0" fontId="32" fillId="10" borderId="12" xfId="2" applyFont="1" applyFill="1" applyBorder="1" applyAlignment="1">
      <alignment horizontal="centerContinuous"/>
    </xf>
    <xf numFmtId="0" fontId="32" fillId="10" borderId="13" xfId="2" applyFont="1" applyFill="1" applyBorder="1" applyAlignment="1">
      <alignment horizontal="centerContinuous"/>
    </xf>
    <xf numFmtId="9" fontId="32" fillId="10" borderId="11" xfId="2" applyNumberFormat="1" applyFont="1" applyFill="1" applyBorder="1" applyAlignment="1">
      <alignment horizontal="centerContinuous"/>
    </xf>
    <xf numFmtId="9" fontId="32" fillId="10" borderId="12" xfId="2" applyNumberFormat="1" applyFont="1" applyFill="1" applyBorder="1" applyAlignment="1">
      <alignment horizontal="centerContinuous"/>
    </xf>
    <xf numFmtId="9" fontId="32" fillId="10" borderId="13" xfId="2" applyNumberFormat="1" applyFont="1" applyFill="1" applyBorder="1" applyAlignment="1">
      <alignment horizontal="centerContinuous"/>
    </xf>
    <xf numFmtId="0" fontId="32" fillId="7" borderId="11" xfId="2" applyFont="1" applyFill="1" applyBorder="1" applyAlignment="1">
      <alignment horizontal="centerContinuous"/>
    </xf>
    <xf numFmtId="0" fontId="32" fillId="7" borderId="12" xfId="2" applyFont="1" applyFill="1" applyBorder="1" applyAlignment="1">
      <alignment horizontal="centerContinuous"/>
    </xf>
    <xf numFmtId="0" fontId="32" fillId="7" borderId="13" xfId="2" applyFont="1" applyFill="1" applyBorder="1" applyAlignment="1">
      <alignment horizontal="centerContinuous"/>
    </xf>
    <xf numFmtId="0" fontId="33" fillId="7" borderId="11" xfId="2" applyFont="1" applyFill="1" applyBorder="1" applyAlignment="1">
      <alignment horizontal="centerContinuous"/>
    </xf>
    <xf numFmtId="0" fontId="33" fillId="7" borderId="12" xfId="2" applyFont="1" applyFill="1" applyBorder="1" applyAlignment="1">
      <alignment horizontal="centerContinuous"/>
    </xf>
    <xf numFmtId="0" fontId="33" fillId="7" borderId="13" xfId="2" applyFont="1" applyFill="1" applyBorder="1" applyAlignment="1">
      <alignment horizontal="centerContinuous"/>
    </xf>
    <xf numFmtId="0" fontId="23" fillId="0" borderId="9" xfId="2" applyFont="1" applyBorder="1"/>
    <xf numFmtId="0" fontId="100" fillId="0" borderId="0" xfId="2" applyFont="1"/>
    <xf numFmtId="0" fontId="18" fillId="5" borderId="9" xfId="0" applyFont="1" applyFill="1" applyBorder="1" applyAlignment="1">
      <alignment horizontal="center" vertical="center"/>
    </xf>
    <xf numFmtId="177" fontId="101" fillId="7" borderId="15" xfId="2" applyNumberFormat="1" applyFont="1" applyFill="1" applyBorder="1" applyAlignment="1">
      <alignment horizontal="right" vertical="center"/>
    </xf>
    <xf numFmtId="0" fontId="15" fillId="18" borderId="27" xfId="3" applyFont="1" applyFill="1" applyBorder="1" applyAlignment="1">
      <alignment horizontal="center" vertical="center"/>
    </xf>
    <xf numFmtId="0" fontId="102" fillId="18" borderId="27" xfId="3" applyFont="1" applyFill="1" applyBorder="1" applyAlignment="1">
      <alignment horizontal="left" vertical="center"/>
    </xf>
    <xf numFmtId="0" fontId="16" fillId="7" borderId="19" xfId="3" applyFont="1" applyFill="1" applyBorder="1" applyAlignment="1">
      <alignment horizontal="center" vertical="center"/>
    </xf>
    <xf numFmtId="0" fontId="15" fillId="18" borderId="19" xfId="3" applyFont="1" applyFill="1" applyBorder="1" applyAlignment="1">
      <alignment horizontal="center" vertical="center"/>
    </xf>
    <xf numFmtId="0" fontId="102" fillId="18" borderId="19" xfId="3" applyFont="1" applyFill="1" applyBorder="1" applyAlignment="1">
      <alignment horizontal="left" vertical="center"/>
    </xf>
    <xf numFmtId="0" fontId="16" fillId="7" borderId="2" xfId="3" applyFont="1" applyFill="1" applyBorder="1" applyAlignment="1">
      <alignment horizontal="center" vertical="center"/>
    </xf>
    <xf numFmtId="0" fontId="96" fillId="16" borderId="26" xfId="3" applyFont="1" applyFill="1" applyBorder="1" applyAlignment="1">
      <alignment horizontal="center" vertical="center"/>
    </xf>
    <xf numFmtId="0" fontId="96" fillId="19" borderId="26" xfId="3" applyFont="1" applyFill="1" applyBorder="1" applyAlignment="1">
      <alignment horizontal="center" vertical="center"/>
    </xf>
    <xf numFmtId="0" fontId="97" fillId="16" borderId="26" xfId="3" applyFont="1" applyFill="1" applyBorder="1" applyAlignment="1">
      <alignment horizontal="center" vertical="center"/>
    </xf>
    <xf numFmtId="0" fontId="15" fillId="18" borderId="27" xfId="3" quotePrefix="1" applyFont="1" applyFill="1" applyBorder="1" applyAlignment="1">
      <alignment horizontal="center" vertical="center"/>
    </xf>
    <xf numFmtId="0" fontId="103" fillId="0" borderId="0" xfId="2" applyFont="1" applyAlignment="1">
      <alignment horizontal="center" vertical="center"/>
    </xf>
    <xf numFmtId="0" fontId="105" fillId="0" borderId="0" xfId="2" applyFont="1"/>
    <xf numFmtId="0" fontId="106" fillId="0" borderId="0" xfId="2" applyFont="1"/>
    <xf numFmtId="0" fontId="107" fillId="0" borderId="0" xfId="2" applyFont="1"/>
    <xf numFmtId="0" fontId="107" fillId="0" borderId="0" xfId="2" applyFont="1" applyAlignment="1">
      <alignment vertical="center"/>
    </xf>
    <xf numFmtId="0" fontId="108" fillId="0" borderId="0" xfId="0" applyFont="1"/>
    <xf numFmtId="0" fontId="75" fillId="5" borderId="6" xfId="2" applyFont="1" applyFill="1" applyBorder="1" applyAlignment="1">
      <alignment vertical="center"/>
    </xf>
    <xf numFmtId="0" fontId="32" fillId="6" borderId="15" xfId="2" quotePrefix="1" applyFont="1" applyFill="1" applyBorder="1" applyAlignment="1">
      <alignment horizontal="center" vertical="center"/>
    </xf>
    <xf numFmtId="177" fontId="39" fillId="7" borderId="18" xfId="2" quotePrefix="1" applyNumberFormat="1" applyFont="1" applyFill="1" applyBorder="1" applyAlignment="1">
      <alignment horizontal="center" vertical="center"/>
    </xf>
    <xf numFmtId="0" fontId="110" fillId="14" borderId="0" xfId="2" applyFont="1" applyFill="1" applyAlignment="1">
      <alignment vertical="center"/>
    </xf>
    <xf numFmtId="0" fontId="111" fillId="11" borderId="0" xfId="1" applyFont="1" applyFill="1" applyAlignment="1">
      <alignment vertical="center"/>
    </xf>
    <xf numFmtId="0" fontId="109" fillId="0" borderId="0" xfId="3" applyFont="1" applyAlignment="1">
      <alignment horizontal="left" vertical="center"/>
    </xf>
    <xf numFmtId="0" fontId="112" fillId="0" borderId="0" xfId="3" applyFont="1" applyAlignment="1">
      <alignment horizontal="center" vertical="center"/>
    </xf>
    <xf numFmtId="0" fontId="20" fillId="18" borderId="27" xfId="3" applyFont="1" applyFill="1" applyBorder="1" applyAlignment="1">
      <alignment horizontal="left" vertical="center"/>
    </xf>
    <xf numFmtId="0" fontId="54" fillId="16" borderId="6" xfId="2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99" fillId="7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left" vertical="center" indent="3"/>
    </xf>
    <xf numFmtId="0" fontId="18" fillId="5" borderId="7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13" fillId="16" borderId="6" xfId="2" applyFont="1" applyFill="1" applyBorder="1" applyAlignment="1">
      <alignment horizontal="center" vertical="center"/>
    </xf>
    <xf numFmtId="177" fontId="114" fillId="7" borderId="16" xfId="2" applyNumberFormat="1" applyFont="1" applyFill="1" applyBorder="1" applyAlignment="1">
      <alignment horizontal="center" vertical="center"/>
    </xf>
    <xf numFmtId="177" fontId="115" fillId="7" borderId="14" xfId="2" applyNumberFormat="1" applyFont="1" applyFill="1" applyBorder="1" applyAlignment="1">
      <alignment horizontal="center" vertical="center"/>
    </xf>
    <xf numFmtId="0" fontId="80" fillId="7" borderId="0" xfId="2" applyFont="1" applyFill="1" applyAlignment="1">
      <alignment horizontal="center" vertical="center"/>
    </xf>
    <xf numFmtId="0" fontId="80" fillId="7" borderId="15" xfId="2" applyFont="1" applyFill="1" applyBorder="1" applyAlignment="1">
      <alignment horizontal="center" vertical="center"/>
    </xf>
    <xf numFmtId="0" fontId="14" fillId="7" borderId="27" xfId="3" applyFont="1" applyFill="1" applyBorder="1" applyAlignment="1">
      <alignment horizontal="center" vertical="center"/>
    </xf>
    <xf numFmtId="0" fontId="83" fillId="18" borderId="27" xfId="3" applyFont="1" applyFill="1" applyBorder="1" applyAlignment="1">
      <alignment horizontal="center" vertical="center"/>
    </xf>
    <xf numFmtId="0" fontId="14" fillId="7" borderId="2" xfId="3" quotePrefix="1" applyFont="1" applyFill="1" applyBorder="1" applyAlignment="1">
      <alignment horizontal="center" vertical="center"/>
    </xf>
    <xf numFmtId="0" fontId="119" fillId="0" borderId="9" xfId="1" applyFont="1" applyBorder="1" applyAlignment="1">
      <alignment horizontal="center" vertical="center"/>
    </xf>
    <xf numFmtId="0" fontId="120" fillId="0" borderId="9" xfId="1" applyFont="1" applyBorder="1" applyAlignment="1">
      <alignment horizontal="center" vertical="center"/>
    </xf>
    <xf numFmtId="0" fontId="119" fillId="0" borderId="9" xfId="2" applyFont="1" applyBorder="1" applyAlignment="1">
      <alignment horizontal="center" vertical="center"/>
    </xf>
    <xf numFmtId="0" fontId="119" fillId="0" borderId="9" xfId="2" applyFont="1" applyBorder="1" applyAlignment="1">
      <alignment horizontal="center"/>
    </xf>
    <xf numFmtId="0" fontId="119" fillId="8" borderId="9" xfId="1" applyFont="1" applyFill="1" applyBorder="1" applyAlignment="1">
      <alignment horizontal="center" vertical="center"/>
    </xf>
    <xf numFmtId="0" fontId="119" fillId="0" borderId="0" xfId="2" applyFont="1" applyAlignment="1">
      <alignment vertical="center"/>
    </xf>
    <xf numFmtId="0" fontId="122" fillId="20" borderId="9" xfId="1" applyFont="1" applyFill="1" applyBorder="1" applyAlignment="1">
      <alignment horizontal="center" vertical="center"/>
    </xf>
    <xf numFmtId="0" fontId="122" fillId="20" borderId="9" xfId="2" applyFont="1" applyFill="1" applyBorder="1" applyAlignment="1">
      <alignment horizontal="center" vertical="center"/>
    </xf>
    <xf numFmtId="0" fontId="122" fillId="20" borderId="9" xfId="2" applyFont="1" applyFill="1" applyBorder="1" applyAlignment="1">
      <alignment horizontal="center"/>
    </xf>
    <xf numFmtId="0" fontId="121" fillId="0" borderId="9" xfId="2" applyFont="1" applyBorder="1" applyAlignment="1">
      <alignment horizontal="center" vertical="center"/>
    </xf>
    <xf numFmtId="0" fontId="121" fillId="0" borderId="9" xfId="2" applyFont="1" applyBorder="1" applyAlignment="1">
      <alignment horizontal="left" vertical="center"/>
    </xf>
    <xf numFmtId="0" fontId="121" fillId="0" borderId="9" xfId="2" applyFont="1" applyBorder="1" applyAlignment="1">
      <alignment horizontal="left" vertical="center" readingOrder="1"/>
    </xf>
    <xf numFmtId="0" fontId="123" fillId="0" borderId="0" xfId="2" applyFont="1"/>
    <xf numFmtId="0" fontId="80" fillId="5" borderId="3" xfId="0" applyFont="1" applyFill="1" applyBorder="1" applyAlignment="1">
      <alignment horizontal="center" vertical="center"/>
    </xf>
    <xf numFmtId="0" fontId="122" fillId="21" borderId="9" xfId="1" applyFont="1" applyFill="1" applyBorder="1" applyAlignment="1">
      <alignment horizontal="center" vertical="center"/>
    </xf>
    <xf numFmtId="0" fontId="122" fillId="21" borderId="9" xfId="2" applyFont="1" applyFill="1" applyBorder="1" applyAlignment="1">
      <alignment horizontal="center" vertical="center"/>
    </xf>
    <xf numFmtId="0" fontId="122" fillId="21" borderId="9" xfId="2" applyFont="1" applyFill="1" applyBorder="1" applyAlignment="1">
      <alignment horizontal="center"/>
    </xf>
    <xf numFmtId="0" fontId="122" fillId="22" borderId="9" xfId="1" applyFont="1" applyFill="1" applyBorder="1" applyAlignment="1">
      <alignment horizontal="center" vertical="center"/>
    </xf>
    <xf numFmtId="0" fontId="122" fillId="22" borderId="9" xfId="2" applyFont="1" applyFill="1" applyBorder="1" applyAlignment="1">
      <alignment horizontal="center" vertical="center"/>
    </xf>
    <xf numFmtId="0" fontId="122" fillId="22" borderId="9" xfId="2" applyFont="1" applyFill="1" applyBorder="1" applyAlignment="1">
      <alignment horizontal="center"/>
    </xf>
    <xf numFmtId="0" fontId="121" fillId="0" borderId="0" xfId="2" applyFont="1" applyAlignment="1">
      <alignment horizontal="left" vertical="center" readingOrder="1"/>
    </xf>
    <xf numFmtId="0" fontId="0" fillId="0" borderId="0" xfId="0" applyAlignment="1">
      <alignment horizontal="center"/>
    </xf>
    <xf numFmtId="0" fontId="80" fillId="5" borderId="7" xfId="0" applyFont="1" applyFill="1" applyBorder="1" applyAlignment="1">
      <alignment horizontal="center" vertical="center"/>
    </xf>
    <xf numFmtId="0" fontId="79" fillId="18" borderId="0" xfId="3" applyFont="1" applyFill="1" applyAlignment="1">
      <alignment horizontal="center" vertical="center"/>
    </xf>
    <xf numFmtId="0" fontId="124" fillId="18" borderId="19" xfId="3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left" vertical="center" indent="1"/>
    </xf>
    <xf numFmtId="0" fontId="82" fillId="5" borderId="7" xfId="0" applyFont="1" applyFill="1" applyBorder="1" applyAlignment="1">
      <alignment horizontal="center" vertical="center"/>
    </xf>
    <xf numFmtId="0" fontId="80" fillId="5" borderId="7" xfId="0" quotePrefix="1" applyFont="1" applyFill="1" applyBorder="1" applyAlignment="1">
      <alignment horizontal="center" vertical="center"/>
    </xf>
    <xf numFmtId="0" fontId="14" fillId="9" borderId="7" xfId="1" applyFont="1" applyFill="1" applyBorder="1" applyAlignment="1">
      <alignment horizontal="left" vertical="center" indent="1"/>
    </xf>
    <xf numFmtId="0" fontId="9" fillId="2" borderId="7" xfId="0" applyFont="1" applyFill="1" applyBorder="1" applyAlignment="1">
      <alignment horizontal="left" vertical="center" indent="1"/>
    </xf>
    <xf numFmtId="0" fontId="9" fillId="2" borderId="3" xfId="0" applyFont="1" applyFill="1" applyBorder="1" applyAlignment="1">
      <alignment horizontal="left" vertical="center" indent="1"/>
    </xf>
    <xf numFmtId="0" fontId="74" fillId="3" borderId="10" xfId="0" applyFont="1" applyFill="1" applyBorder="1" applyAlignment="1">
      <alignment horizontal="center" vertical="center"/>
    </xf>
    <xf numFmtId="0" fontId="74" fillId="4" borderId="10" xfId="0" applyFont="1" applyFill="1" applyBorder="1" applyAlignment="1">
      <alignment horizontal="center" vertical="center"/>
    </xf>
    <xf numFmtId="0" fontId="74" fillId="5" borderId="10" xfId="0" applyFont="1" applyFill="1" applyBorder="1" applyAlignment="1">
      <alignment horizontal="center" vertical="center"/>
    </xf>
    <xf numFmtId="0" fontId="74" fillId="6" borderId="10" xfId="0" applyFont="1" applyFill="1" applyBorder="1" applyAlignment="1">
      <alignment horizontal="center" vertical="center"/>
    </xf>
    <xf numFmtId="0" fontId="74" fillId="7" borderId="10" xfId="0" applyFont="1" applyFill="1" applyBorder="1" applyAlignment="1">
      <alignment horizontal="center" vertical="center"/>
    </xf>
    <xf numFmtId="0" fontId="10" fillId="7" borderId="7" xfId="0" quotePrefix="1" applyFont="1" applyFill="1" applyBorder="1" applyAlignment="1">
      <alignment horizontal="center" vertical="center"/>
    </xf>
    <xf numFmtId="0" fontId="125" fillId="0" borderId="0" xfId="0" applyFont="1"/>
    <xf numFmtId="0" fontId="121" fillId="23" borderId="0" xfId="2" applyFont="1" applyFill="1" applyAlignment="1">
      <alignment horizontal="left" vertical="center" readingOrder="1"/>
    </xf>
    <xf numFmtId="0" fontId="104" fillId="23" borderId="0" xfId="0" applyFont="1" applyFill="1" applyAlignment="1">
      <alignment horizontal="left" vertical="center"/>
    </xf>
    <xf numFmtId="0" fontId="1" fillId="23" borderId="0" xfId="2" applyFont="1" applyFill="1" applyAlignment="1">
      <alignment horizontal="center" vertical="center"/>
    </xf>
    <xf numFmtId="0" fontId="103" fillId="23" borderId="0" xfId="2" applyFont="1" applyFill="1" applyAlignment="1">
      <alignment vertical="center" readingOrder="1"/>
    </xf>
    <xf numFmtId="0" fontId="1" fillId="23" borderId="0" xfId="2" applyFont="1" applyFill="1" applyAlignment="1">
      <alignment vertical="center" readingOrder="1"/>
    </xf>
    <xf numFmtId="0" fontId="126" fillId="13" borderId="0" xfId="2" applyFont="1" applyFill="1" applyAlignment="1">
      <alignment vertical="center"/>
    </xf>
    <xf numFmtId="0" fontId="126" fillId="14" borderId="0" xfId="2" applyFont="1" applyFill="1" applyAlignment="1">
      <alignment vertical="center"/>
    </xf>
    <xf numFmtId="0" fontId="26" fillId="2" borderId="0" xfId="2" applyFont="1" applyFill="1" applyAlignment="1">
      <alignment vertical="center"/>
    </xf>
    <xf numFmtId="0" fontId="127" fillId="13" borderId="0" xfId="2" applyFont="1" applyFill="1" applyAlignment="1">
      <alignment vertical="center"/>
    </xf>
    <xf numFmtId="0" fontId="127" fillId="14" borderId="0" xfId="2" applyFont="1" applyFill="1" applyAlignment="1">
      <alignment vertical="center"/>
    </xf>
    <xf numFmtId="0" fontId="18" fillId="12" borderId="6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0" fontId="129" fillId="0" borderId="0" xfId="0" quotePrefix="1" applyFont="1" applyAlignment="1">
      <alignment horizontal="center" vertical="center"/>
    </xf>
    <xf numFmtId="0" fontId="129" fillId="0" borderId="9" xfId="0" applyFont="1" applyBorder="1" applyAlignment="1">
      <alignment horizontal="center" vertical="center"/>
    </xf>
    <xf numFmtId="0" fontId="128" fillId="0" borderId="9" xfId="0" applyFont="1" applyBorder="1" applyAlignment="1">
      <alignment horizontal="center" vertical="center"/>
    </xf>
    <xf numFmtId="0" fontId="128" fillId="24" borderId="9" xfId="0" applyFont="1" applyFill="1" applyBorder="1" applyAlignment="1">
      <alignment horizontal="center" vertical="center"/>
    </xf>
    <xf numFmtId="0" fontId="129" fillId="0" borderId="0" xfId="0" applyFont="1" applyAlignment="1">
      <alignment horizontal="left" vertical="center"/>
    </xf>
    <xf numFmtId="0" fontId="27" fillId="0" borderId="9" xfId="2" applyFont="1" applyBorder="1" applyAlignment="1">
      <alignment horizontal="center" vertical="center"/>
    </xf>
    <xf numFmtId="0" fontId="130" fillId="0" borderId="0" xfId="2" applyFont="1" applyAlignment="1">
      <alignment horizontal="center" vertical="center"/>
    </xf>
    <xf numFmtId="0" fontId="122" fillId="25" borderId="9" xfId="1" applyFont="1" applyFill="1" applyBorder="1" applyAlignment="1">
      <alignment horizontal="center" vertical="center"/>
    </xf>
    <xf numFmtId="0" fontId="73" fillId="6" borderId="3" xfId="0" applyFont="1" applyFill="1" applyBorder="1" applyAlignment="1">
      <alignment horizontal="center" vertical="center"/>
    </xf>
    <xf numFmtId="0" fontId="130" fillId="0" borderId="0" xfId="2" applyFont="1"/>
    <xf numFmtId="0" fontId="131" fillId="0" borderId="0" xfId="2" applyFont="1"/>
    <xf numFmtId="0" fontId="131" fillId="0" borderId="0" xfId="2" applyFont="1" applyAlignment="1">
      <alignment horizontal="left" vertical="center"/>
    </xf>
    <xf numFmtId="0" fontId="131" fillId="0" borderId="0" xfId="2" applyFont="1" applyAlignment="1">
      <alignment horizontal="center" vertical="center"/>
    </xf>
    <xf numFmtId="0" fontId="132" fillId="0" borderId="0" xfId="1" applyFont="1" applyAlignment="1">
      <alignment horizontal="center" vertical="center"/>
    </xf>
    <xf numFmtId="0" fontId="132" fillId="0" borderId="0" xfId="1" applyFont="1" applyAlignment="1">
      <alignment horizontal="left" vertical="center"/>
    </xf>
    <xf numFmtId="0" fontId="133" fillId="12" borderId="6" xfId="0" applyFont="1" applyFill="1" applyBorder="1" applyAlignment="1">
      <alignment horizontal="center" vertical="center"/>
    </xf>
    <xf numFmtId="0" fontId="134" fillId="7" borderId="7" xfId="0" applyFont="1" applyFill="1" applyBorder="1" applyAlignment="1">
      <alignment horizontal="center" vertical="center"/>
    </xf>
    <xf numFmtId="0" fontId="133" fillId="5" borderId="7" xfId="0" applyFont="1" applyFill="1" applyBorder="1" applyAlignment="1">
      <alignment horizontal="center" vertical="center"/>
    </xf>
    <xf numFmtId="0" fontId="133" fillId="5" borderId="8" xfId="0" applyFont="1" applyFill="1" applyBorder="1" applyAlignment="1">
      <alignment horizontal="center" vertical="center"/>
    </xf>
    <xf numFmtId="0" fontId="134" fillId="12" borderId="6" xfId="0" applyFont="1" applyFill="1" applyBorder="1" applyAlignment="1">
      <alignment horizontal="center" vertical="center"/>
    </xf>
    <xf numFmtId="0" fontId="134" fillId="5" borderId="7" xfId="0" applyFont="1" applyFill="1" applyBorder="1" applyAlignment="1">
      <alignment horizontal="left" vertical="center" indent="3"/>
    </xf>
    <xf numFmtId="0" fontId="134" fillId="5" borderId="7" xfId="0" applyFont="1" applyFill="1" applyBorder="1" applyAlignment="1">
      <alignment horizontal="center" vertical="center"/>
    </xf>
    <xf numFmtId="0" fontId="134" fillId="5" borderId="8" xfId="0" applyFont="1" applyFill="1" applyBorder="1" applyAlignment="1">
      <alignment horizontal="left" vertical="center" indent="3"/>
    </xf>
    <xf numFmtId="0" fontId="135" fillId="12" borderId="9" xfId="2" applyFont="1" applyFill="1" applyBorder="1" applyAlignment="1">
      <alignment horizontal="center" vertical="center"/>
    </xf>
    <xf numFmtId="0" fontId="136" fillId="12" borderId="9" xfId="2" applyFont="1" applyFill="1" applyBorder="1" applyAlignment="1">
      <alignment horizontal="center" vertical="center"/>
    </xf>
    <xf numFmtId="0" fontId="134" fillId="7" borderId="9" xfId="3" applyFont="1" applyFill="1" applyBorder="1" applyAlignment="1">
      <alignment horizontal="center" vertical="center"/>
    </xf>
    <xf numFmtId="0" fontId="137" fillId="0" borderId="0" xfId="2" applyFont="1" applyAlignment="1">
      <alignment vertical="center"/>
    </xf>
    <xf numFmtId="0" fontId="130" fillId="0" borderId="9" xfId="2" applyFont="1" applyBorder="1" applyAlignment="1">
      <alignment horizontal="center" vertical="center"/>
    </xf>
    <xf numFmtId="0" fontId="138" fillId="0" borderId="0" xfId="2" applyFont="1" applyAlignment="1">
      <alignment horizontal="center" vertical="center"/>
    </xf>
    <xf numFmtId="0" fontId="139" fillId="0" borderId="0" xfId="2" applyFont="1" applyAlignment="1">
      <alignment horizontal="center" vertical="center"/>
    </xf>
    <xf numFmtId="0" fontId="140" fillId="0" borderId="0" xfId="2" applyFont="1"/>
    <xf numFmtId="0" fontId="141" fillId="0" borderId="0" xfId="2" applyFont="1" applyAlignment="1">
      <alignment horizontal="center" vertical="center"/>
    </xf>
    <xf numFmtId="0" fontId="124" fillId="18" borderId="2" xfId="3" applyFont="1" applyFill="1" applyBorder="1" applyAlignment="1">
      <alignment horizontal="center" vertical="center"/>
    </xf>
    <xf numFmtId="0" fontId="74" fillId="22" borderId="10" xfId="0" applyFont="1" applyFill="1" applyBorder="1" applyAlignment="1">
      <alignment horizontal="center" vertical="center"/>
    </xf>
    <xf numFmtId="0" fontId="8" fillId="22" borderId="3" xfId="0" applyFont="1" applyFill="1" applyBorder="1" applyAlignment="1">
      <alignment horizontal="center" vertical="center"/>
    </xf>
    <xf numFmtId="0" fontId="8" fillId="22" borderId="7" xfId="0" applyFont="1" applyFill="1" applyBorder="1" applyAlignment="1">
      <alignment horizontal="center" vertical="center"/>
    </xf>
    <xf numFmtId="0" fontId="54" fillId="20" borderId="7" xfId="0" applyFont="1" applyFill="1" applyBorder="1" applyAlignment="1">
      <alignment horizontal="center" vertical="center"/>
    </xf>
    <xf numFmtId="0" fontId="142" fillId="20" borderId="3" xfId="0" applyFont="1" applyFill="1" applyBorder="1" applyAlignment="1">
      <alignment horizontal="center" vertical="center"/>
    </xf>
    <xf numFmtId="0" fontId="143" fillId="20" borderId="7" xfId="0" applyFont="1" applyFill="1" applyBorder="1" applyAlignment="1">
      <alignment horizontal="center" vertical="center"/>
    </xf>
    <xf numFmtId="0" fontId="142" fillId="20" borderId="7" xfId="0" applyFont="1" applyFill="1" applyBorder="1" applyAlignment="1">
      <alignment horizontal="center" vertical="center"/>
    </xf>
    <xf numFmtId="0" fontId="142" fillId="20" borderId="1" xfId="0" applyFont="1" applyFill="1" applyBorder="1" applyAlignment="1">
      <alignment horizontal="center" vertical="center"/>
    </xf>
    <xf numFmtId="0" fontId="144" fillId="20" borderId="10" xfId="0" applyFont="1" applyFill="1" applyBorder="1" applyAlignment="1">
      <alignment horizontal="center" vertical="center"/>
    </xf>
    <xf numFmtId="0" fontId="145" fillId="0" borderId="0" xfId="2" applyFont="1"/>
    <xf numFmtId="0" fontId="146" fillId="10" borderId="18" xfId="2" applyFont="1" applyFill="1" applyBorder="1" applyAlignment="1">
      <alignment vertical="center"/>
    </xf>
    <xf numFmtId="0" fontId="14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49" fillId="26" borderId="9" xfId="0" applyFont="1" applyFill="1" applyBorder="1" applyAlignment="1">
      <alignment horizontal="center" vertical="center"/>
    </xf>
    <xf numFmtId="0" fontId="148" fillId="22" borderId="9" xfId="0" applyFont="1" applyFill="1" applyBorder="1" applyAlignment="1">
      <alignment horizontal="center" vertical="center"/>
    </xf>
    <xf numFmtId="0" fontId="150" fillId="22" borderId="9" xfId="0" applyFont="1" applyFill="1" applyBorder="1" applyAlignment="1">
      <alignment horizontal="center" vertical="center"/>
    </xf>
    <xf numFmtId="0" fontId="151" fillId="27" borderId="9" xfId="0" applyFont="1" applyFill="1" applyBorder="1" applyAlignment="1">
      <alignment horizontal="center" vertical="center"/>
    </xf>
    <xf numFmtId="0" fontId="152" fillId="27" borderId="9" xfId="1" applyFont="1" applyFill="1" applyBorder="1" applyAlignment="1">
      <alignment horizontal="center" vertical="center"/>
    </xf>
    <xf numFmtId="0" fontId="153" fillId="27" borderId="9" xfId="0" applyFont="1" applyFill="1" applyBorder="1" applyAlignment="1">
      <alignment horizontal="center" vertical="center"/>
    </xf>
    <xf numFmtId="0" fontId="154" fillId="27" borderId="9" xfId="0" applyFont="1" applyFill="1" applyBorder="1" applyAlignment="1">
      <alignment horizontal="center" vertical="center"/>
    </xf>
    <xf numFmtId="0" fontId="155" fillId="20" borderId="9" xfId="0" applyFont="1" applyFill="1" applyBorder="1" applyAlignment="1">
      <alignment horizontal="center" vertical="center"/>
    </xf>
    <xf numFmtId="0" fontId="80" fillId="28" borderId="7" xfId="0" applyFont="1" applyFill="1" applyBorder="1" applyAlignment="1">
      <alignment horizontal="center" vertical="center"/>
    </xf>
    <xf numFmtId="177" fontId="156" fillId="10" borderId="14" xfId="2" applyNumberFormat="1" applyFont="1" applyFill="1" applyBorder="1" applyAlignment="1">
      <alignment horizontal="center" vertical="center"/>
    </xf>
    <xf numFmtId="0" fontId="157" fillId="10" borderId="0" xfId="2" applyFont="1" applyFill="1" applyAlignment="1">
      <alignment horizontal="right" vertical="center"/>
    </xf>
    <xf numFmtId="177" fontId="19" fillId="10" borderId="15" xfId="2" applyNumberFormat="1" applyFont="1" applyFill="1" applyBorder="1" applyAlignment="1">
      <alignment horizontal="right" vertical="center"/>
    </xf>
    <xf numFmtId="0" fontId="79" fillId="2" borderId="26" xfId="3" applyFont="1" applyFill="1" applyBorder="1" applyAlignment="1">
      <alignment horizontal="center" vertical="center"/>
    </xf>
    <xf numFmtId="0" fontId="10" fillId="7" borderId="26" xfId="3" applyFont="1" applyFill="1" applyBorder="1" applyAlignment="1">
      <alignment horizontal="center" vertical="center"/>
    </xf>
    <xf numFmtId="0" fontId="79" fillId="18" borderId="0" xfId="3" applyFont="1" applyFill="1" applyBorder="1" applyAlignment="1">
      <alignment horizontal="center" vertical="center"/>
    </xf>
    <xf numFmtId="0" fontId="10" fillId="7" borderId="23" xfId="3" quotePrefix="1" applyFont="1" applyFill="1" applyBorder="1" applyAlignment="1">
      <alignment horizontal="center" vertical="center"/>
    </xf>
    <xf numFmtId="0" fontId="158" fillId="5" borderId="3" xfId="0" applyFont="1" applyFill="1" applyBorder="1" applyAlignment="1">
      <alignment horizontal="left" vertical="center" indent="1"/>
    </xf>
    <xf numFmtId="0" fontId="161" fillId="29" borderId="9" xfId="5" applyFont="1" applyFill="1" applyBorder="1" applyAlignment="1">
      <alignment horizontal="left" vertical="center"/>
    </xf>
    <xf numFmtId="0" fontId="159" fillId="0" borderId="9" xfId="0" applyFont="1" applyBorder="1" applyAlignment="1">
      <alignment horizontal="center" vertical="center"/>
    </xf>
    <xf numFmtId="0" fontId="162" fillId="0" borderId="0" xfId="0" applyFont="1" applyAlignment="1">
      <alignment horizontal="left" vertical="center"/>
    </xf>
    <xf numFmtId="0" fontId="162" fillId="0" borderId="0" xfId="0" applyFont="1"/>
    <xf numFmtId="0" fontId="163" fillId="0" borderId="0" xfId="0" applyFont="1" applyFill="1"/>
  </cellXfs>
  <cellStyles count="6">
    <cellStyle name="一般" xfId="0" builtinId="0"/>
    <cellStyle name="一般 2" xfId="3" xr:uid="{69583AAF-7D73-4774-AEFE-CA00E081136C}"/>
    <cellStyle name="一般 3" xfId="4" xr:uid="{4B66882D-17A5-4AD2-A0E1-6D55FEB1FFEB}"/>
    <cellStyle name="一般 3 2" xfId="2" xr:uid="{703AF641-2554-41E3-A1E3-F082EFEA06AE}"/>
    <cellStyle name="一般 4" xfId="1" xr:uid="{D00E67AF-1809-4A9B-A488-D9A10688594D}"/>
    <cellStyle name="一般 5" xfId="5" xr:uid="{6F3922F4-7DF8-4AE2-837C-E87CC02B6250}"/>
  </cellStyles>
  <dxfs count="41"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芫荽 0.94"/>
        <family val="3"/>
        <charset val="136"/>
        <scheme val="none"/>
      </font>
      <fill>
        <patternFill patternType="solid">
          <fgColor rgb="FF000000"/>
          <bgColor rgb="FFD8E4BC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8"/>
        <name val="Times New Roman"/>
        <family val="1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numFmt numFmtId="0" formatCode="General"/>
      <fill>
        <patternFill patternType="solid">
          <fgColor rgb="FF000000"/>
          <bgColor rgb="FFDAEEF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erif TC Medium"/>
        <family val="1"/>
        <charset val="136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oto Sans TC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266699</xdr:rowOff>
    </xdr:from>
    <xdr:to>
      <xdr:col>10</xdr:col>
      <xdr:colOff>487244</xdr:colOff>
      <xdr:row>13</xdr:row>
      <xdr:rowOff>85724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D3E5373-57E5-867F-CDCE-2F8686A64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266699"/>
          <a:ext cx="8031044" cy="32861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9524</xdr:colOff>
      <xdr:row>0</xdr:row>
      <xdr:rowOff>234147</xdr:rowOff>
    </xdr:from>
    <xdr:to>
      <xdr:col>21</xdr:col>
      <xdr:colOff>485775</xdr:colOff>
      <xdr:row>15</xdr:row>
      <xdr:rowOff>28575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D326ACD-4427-6445-E660-7E03E876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924" y="234147"/>
          <a:ext cx="8020051" cy="3794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home\alanjui\workspace\rime\rime-tlpa\docs\&#37749;&#30436;&#35373;&#35336;&#35215;&#26684;_&#27827;&#27931;&#26041;&#38899;.xlsx" TargetMode="External"/><Relationship Id="rId1" Type="http://schemas.openxmlformats.org/officeDocument/2006/relationships/externalLinkPath" Target="/work/rime-tlpa/docs/&#37749;&#30436;&#35373;&#35336;&#35215;&#26684;_&#27827;&#27931;&#26041;&#388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鍵盤圖"/>
      <sheetName val="工作表1"/>
      <sheetName val="聲韻母"/>
      <sheetName val="RIME編碼"/>
      <sheetName val="RIME編碼 (2)"/>
      <sheetName val="RIME對映編碼"/>
      <sheetName val="說明"/>
      <sheetName val="原方音鍵盤圖"/>
      <sheetName val="工作表3"/>
      <sheetName val="RIME對映編碼 (Schema解析)"/>
      <sheetName val=" 河洛方音鍵盤設計"/>
      <sheetName val="RIME解析(BoPoMoFo)"/>
      <sheetName val="RIME對映編碼 (BoPoMoFo)"/>
      <sheetName val="RIME對映編碼 (萌台語)"/>
      <sheetName val="RIME對映編碼 (台語方音)"/>
      <sheetName val="RIME對映編碼 (注音符號)"/>
      <sheetName val="RIME對映編碼 (注音符號V2)"/>
      <sheetName val="RIME對映編碼 (台語方音V3)"/>
      <sheetName val="注音符號字典編碼"/>
      <sheetName val="RIME對映編碼 (原設計)"/>
      <sheetName val="RIME指令 (與漢字拼音相容版)"/>
      <sheetName val="工作表2"/>
      <sheetName val=" 河洛方音鍵盤設計 (V1)"/>
      <sheetName val="RIME對映編碼 (河洛方音)"/>
    </sheetNames>
    <sheetDataSet>
      <sheetData sheetId="0" refreshError="1"/>
      <sheetData sheetId="1" refreshError="1"/>
      <sheetData sheetId="2" refreshError="1"/>
      <sheetData sheetId="3" refreshError="1">
        <row r="3">
          <cell r="W3" t="str">
            <v>1</v>
          </cell>
          <cell r="AA3" t="str">
            <v>ㄅ</v>
          </cell>
          <cell r="AB3" t="str">
            <v>p</v>
          </cell>
          <cell r="AC3" t="str">
            <v>p</v>
          </cell>
        </row>
        <row r="4">
          <cell r="W4" t="str">
            <v>q</v>
          </cell>
          <cell r="AA4" t="str">
            <v>ㄆ</v>
          </cell>
          <cell r="AB4" t="str">
            <v>P</v>
          </cell>
          <cell r="AC4" t="str">
            <v>ph</v>
          </cell>
        </row>
        <row r="5">
          <cell r="W5" t="str">
            <v>a</v>
          </cell>
          <cell r="AA5" t="str">
            <v>ㄇ</v>
          </cell>
          <cell r="AB5" t="str">
            <v>m</v>
          </cell>
          <cell r="AC5" t="str">
            <v>m</v>
          </cell>
        </row>
        <row r="6">
          <cell r="W6" t="str">
            <v>z</v>
          </cell>
          <cell r="AA6" t="str">
            <v>ﾟ</v>
          </cell>
          <cell r="AB6">
            <v>0</v>
          </cell>
          <cell r="AC6" t="str">
            <v>Z</v>
          </cell>
        </row>
        <row r="7">
          <cell r="W7" t="str">
            <v>2</v>
          </cell>
          <cell r="AA7" t="str">
            <v>ㄉ</v>
          </cell>
          <cell r="AB7" t="str">
            <v>t</v>
          </cell>
          <cell r="AC7" t="str">
            <v>t</v>
          </cell>
        </row>
        <row r="8">
          <cell r="W8" t="str">
            <v>w</v>
          </cell>
          <cell r="AA8" t="str">
            <v>ㄊ</v>
          </cell>
          <cell r="AB8" t="str">
            <v>T</v>
          </cell>
          <cell r="AC8" t="str">
            <v>th</v>
          </cell>
        </row>
        <row r="9">
          <cell r="W9" t="str">
            <v>s</v>
          </cell>
          <cell r="AA9" t="str">
            <v>ㄋ</v>
          </cell>
          <cell r="AB9" t="str">
            <v>n</v>
          </cell>
          <cell r="AC9" t="str">
            <v>n</v>
          </cell>
        </row>
        <row r="10">
          <cell r="W10" t="str">
            <v>x</v>
          </cell>
          <cell r="AA10" t="str">
            <v>ㄌ</v>
          </cell>
          <cell r="AB10" t="str">
            <v>l</v>
          </cell>
          <cell r="AC10" t="str">
            <v>l</v>
          </cell>
        </row>
        <row r="11">
          <cell r="W11">
            <v>3</v>
          </cell>
          <cell r="AA11" t="str">
            <v>˪</v>
          </cell>
          <cell r="AB11">
            <v>3</v>
          </cell>
          <cell r="AC11">
            <v>3</v>
          </cell>
        </row>
        <row r="12">
          <cell r="W12" t="str">
            <v>e</v>
          </cell>
          <cell r="AA12" t="str">
            <v>ㄍ</v>
          </cell>
          <cell r="AB12" t="str">
            <v>k</v>
          </cell>
          <cell r="AC12" t="str">
            <v>k</v>
          </cell>
        </row>
        <row r="13">
          <cell r="W13" t="str">
            <v>d</v>
          </cell>
          <cell r="AA13" t="str">
            <v>ㄎ</v>
          </cell>
          <cell r="AB13" t="str">
            <v>K</v>
          </cell>
          <cell r="AC13" t="str">
            <v>kh</v>
          </cell>
        </row>
        <row r="14">
          <cell r="W14" t="str">
            <v>c</v>
          </cell>
          <cell r="AA14" t="str">
            <v>ㄏ</v>
          </cell>
          <cell r="AB14" t="str">
            <v>h</v>
          </cell>
          <cell r="AC14" t="str">
            <v>h</v>
          </cell>
        </row>
        <row r="15">
          <cell r="W15">
            <v>4</v>
          </cell>
          <cell r="AA15" t="str">
            <v>ˋ</v>
          </cell>
          <cell r="AB15">
            <v>2</v>
          </cell>
          <cell r="AC15">
            <v>2</v>
          </cell>
        </row>
        <row r="16">
          <cell r="W16" t="str">
            <v>r</v>
          </cell>
          <cell r="AB16" t="str">
            <v/>
          </cell>
        </row>
        <row r="17">
          <cell r="W17" t="str">
            <v>f</v>
          </cell>
          <cell r="AB17" t="str">
            <v/>
          </cell>
        </row>
        <row r="18">
          <cell r="W18" t="str">
            <v>v</v>
          </cell>
          <cell r="AA18" t="str">
            <v>ㄫ</v>
          </cell>
          <cell r="AB18" t="str">
            <v>f</v>
          </cell>
          <cell r="AC18" t="str">
            <v>ng</v>
          </cell>
        </row>
        <row r="19">
          <cell r="W19">
            <v>5</v>
          </cell>
          <cell r="AB19" t="str">
            <v/>
          </cell>
        </row>
        <row r="20">
          <cell r="W20" t="str">
            <v>t</v>
          </cell>
          <cell r="AA20" t="str">
            <v>ㆠ</v>
          </cell>
          <cell r="AB20" t="str">
            <v>b</v>
          </cell>
          <cell r="AC20" t="str">
            <v>b</v>
          </cell>
        </row>
        <row r="21">
          <cell r="W21" t="str">
            <v>g</v>
          </cell>
          <cell r="AA21" t="str">
            <v>ㆣ</v>
          </cell>
          <cell r="AB21" t="str">
            <v>g</v>
          </cell>
          <cell r="AC21" t="str">
            <v>g</v>
          </cell>
        </row>
        <row r="22">
          <cell r="W22" t="str">
            <v>b</v>
          </cell>
          <cell r="AA22" t="str">
            <v>ㆡ</v>
          </cell>
          <cell r="AB22" t="str">
            <v>j</v>
          </cell>
          <cell r="AC22" t="str">
            <v>j</v>
          </cell>
        </row>
        <row r="23">
          <cell r="W23">
            <v>6</v>
          </cell>
          <cell r="AA23" t="str">
            <v>ˊ</v>
          </cell>
          <cell r="AB23">
            <v>5</v>
          </cell>
          <cell r="AC23">
            <v>5</v>
          </cell>
        </row>
        <row r="24">
          <cell r="W24" t="str">
            <v>y</v>
          </cell>
          <cell r="AA24" t="str">
            <v>ㄗ</v>
          </cell>
          <cell r="AB24" t="str">
            <v>c</v>
          </cell>
          <cell r="AC24" t="str">
            <v>c</v>
          </cell>
        </row>
        <row r="25">
          <cell r="W25" t="str">
            <v>h</v>
          </cell>
          <cell r="AA25" t="str">
            <v>ㄘ</v>
          </cell>
          <cell r="AB25" t="str">
            <v>C</v>
          </cell>
          <cell r="AC25" t="str">
            <v>ch</v>
          </cell>
        </row>
        <row r="26">
          <cell r="W26" t="str">
            <v>n</v>
          </cell>
          <cell r="AA26" t="str">
            <v>ㄙ</v>
          </cell>
          <cell r="AB26" t="str">
            <v>s</v>
          </cell>
          <cell r="AC26" t="str">
            <v>s</v>
          </cell>
        </row>
        <row r="27">
          <cell r="W27">
            <v>7</v>
          </cell>
          <cell r="AA27" t="str">
            <v>˫</v>
          </cell>
          <cell r="AB27">
            <v>7</v>
          </cell>
          <cell r="AC27">
            <v>7</v>
          </cell>
        </row>
        <row r="28">
          <cell r="W28" t="str">
            <v>u</v>
          </cell>
          <cell r="AA28" t="str">
            <v>ㄧ</v>
          </cell>
          <cell r="AB28" t="str">
            <v>i</v>
          </cell>
          <cell r="AC28" t="str">
            <v>i</v>
          </cell>
        </row>
        <row r="29">
          <cell r="W29" t="str">
            <v>j</v>
          </cell>
          <cell r="AA29" t="str">
            <v>ㄨ</v>
          </cell>
          <cell r="AB29" t="str">
            <v>u</v>
          </cell>
          <cell r="AC29" t="str">
            <v>u</v>
          </cell>
        </row>
        <row r="30">
          <cell r="W30" t="str">
            <v>m</v>
          </cell>
          <cell r="AA30" t="str">
            <v>ㆬ</v>
          </cell>
          <cell r="AB30" t="str">
            <v>Ｍ</v>
          </cell>
          <cell r="AC30" t="str">
            <v>M</v>
          </cell>
        </row>
        <row r="31">
          <cell r="W31">
            <v>8</v>
          </cell>
          <cell r="AA31" t="str">
            <v>ㄚ</v>
          </cell>
          <cell r="AB31" t="str">
            <v>a</v>
          </cell>
          <cell r="AC31" t="str">
            <v>a</v>
          </cell>
        </row>
        <row r="32">
          <cell r="W32" t="str">
            <v>i</v>
          </cell>
          <cell r="AA32" t="str">
            <v>ㆦ</v>
          </cell>
          <cell r="AB32" t="str">
            <v>O</v>
          </cell>
          <cell r="AC32" t="str">
            <v>oo</v>
          </cell>
        </row>
        <row r="33">
          <cell r="W33" t="str">
            <v>k</v>
          </cell>
          <cell r="AA33" t="str">
            <v>ㄜ</v>
          </cell>
          <cell r="AB33" t="str">
            <v>o</v>
          </cell>
          <cell r="AC33" t="str">
            <v>o</v>
          </cell>
        </row>
        <row r="34">
          <cell r="W34" t="str">
            <v>,</v>
          </cell>
          <cell r="AA34" t="str">
            <v>ㄝ</v>
          </cell>
          <cell r="AB34" t="str">
            <v>e</v>
          </cell>
          <cell r="AC34" t="str">
            <v>e</v>
          </cell>
        </row>
        <row r="35">
          <cell r="W35">
            <v>9</v>
          </cell>
        </row>
        <row r="36">
          <cell r="W36" t="str">
            <v>o</v>
          </cell>
          <cell r="AA36" t="str">
            <v>Ｐ</v>
          </cell>
          <cell r="AB36" t="str">
            <v>P</v>
          </cell>
          <cell r="AC36" t="str">
            <v>P</v>
          </cell>
        </row>
        <row r="37">
          <cell r="W37" t="str">
            <v>l</v>
          </cell>
          <cell r="AA37" t="str">
            <v>Ｌ</v>
          </cell>
          <cell r="AB37" t="str">
            <v>L</v>
          </cell>
          <cell r="AC37" t="str">
            <v>L</v>
          </cell>
        </row>
        <row r="38">
          <cell r="W38" t="str">
            <v>.</v>
          </cell>
          <cell r="AA38" t="str">
            <v>ㄥ</v>
          </cell>
          <cell r="AB38" t="str">
            <v>F</v>
          </cell>
          <cell r="AC38" t="str">
            <v>ng</v>
          </cell>
        </row>
        <row r="39">
          <cell r="W39">
            <v>0</v>
          </cell>
          <cell r="AB39" t="str">
            <v/>
          </cell>
        </row>
        <row r="40">
          <cell r="W40" t="str">
            <v>p</v>
          </cell>
          <cell r="AA40" t="str">
            <v>ㄣ</v>
          </cell>
          <cell r="AB40" t="str">
            <v>N</v>
          </cell>
          <cell r="AC40" t="str">
            <v>N</v>
          </cell>
        </row>
        <row r="41">
          <cell r="AB41" t="str">
            <v/>
          </cell>
        </row>
        <row r="42">
          <cell r="AB42" t="str">
            <v/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3A84B1-F045-4CD4-B00E-3B483CD1E9BC}" name="鍵盤設計表" displayName="鍵盤設計表" ref="B4:J94" totalsRowShown="0" headerRowDxfId="40" dataDxfId="38" headerRowBorderDxfId="39" tableBorderDxfId="37" headerRowCellStyle="一般 2" dataCellStyle="一般 2">
  <tableColumns count="9">
    <tableColumn id="1" xr3:uid="{423B74D9-3D3F-4B2B-8D68-A4E9171D5CB7}" name="序號" dataDxfId="36" dataCellStyle="一般 2"/>
    <tableColumn id="2" xr3:uid="{396D49D7-AA99-4DEA-9619-65E7FD5D39AB}" name="鍵盤按鍵" dataDxfId="35" dataCellStyle="一般 2"/>
    <tableColumn id="4" xr3:uid="{235A3757-E71F-4A17-A84D-41CE930C6F69}" name="方音符號" dataDxfId="34" dataCellStyle="一般 2">
      <calculatedColumnFormula array="1" xml:space="preserve"> IFERROR( INDEX(AA5:$AA$54, MATCH(TRUE, EXACT($C5, $Y$5:$Y$54), 0)), "")</calculatedColumnFormula>
    </tableColumn>
    <tableColumn id="3" xr3:uid="{36C49E4F-195F-4374-B441-75A12C1C52F6}" name="字典編碼" dataDxfId="33" dataCellStyle="一般 2"/>
    <tableColumn id="6" xr3:uid="{43C98D01-F75F-4F2F-A863-AE225770CCD0}" name="台語音標" dataDxfId="32" dataCellStyle="一般 2"/>
    <tableColumn id="5" xr3:uid="{FD87CD5D-A668-47A2-81A3-7C73ADB50A00}" name="注音二式" dataDxfId="31" dataCellStyle="一般 2"/>
    <tableColumn id="9" xr3:uid="{740AB951-BE37-47AA-A7ED-9C808A3139CE}" name="閩拼方案" dataDxfId="30" dataCellStyle="一般 2"/>
    <tableColumn id="7" xr3:uid="{F1056CD8-A3DD-470F-BA01-3A47106881E2}" name="聲韻調" dataDxfId="29" dataCellStyle="一般 2"/>
    <tableColumn id="8" xr3:uid="{283E1CF3-6561-41D8-B4DF-0A3C621707B0}" name="附註" dataDxfId="28" dataCellStyle="一般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D5E1D5-91E1-4620-B9A8-DA5D59A67AA6}" name="注音編碼對照表" displayName="注音編碼對照表" ref="B2:J62" totalsRowShown="0" headerRowBorderDxfId="27" tableBorderDxfId="26">
  <autoFilter ref="B2:J62" xr:uid="{779076CF-6DEF-4E4E-89FE-E37B7352A3DC}"/>
  <tableColumns count="9">
    <tableColumn id="1" xr3:uid="{54A56422-F653-4F43-A4BC-B7E408DB967F}" name="序號" dataDxfId="25">
      <calculatedColumnFormula>ROW() - 2</calculatedColumnFormula>
    </tableColumn>
    <tableColumn id="2" xr3:uid="{5A5D3F24-31DF-4DA1-90A3-3528AC1BB140}" name="鍵盤按鍵" dataDxfId="24" dataCellStyle="一般 4"/>
    <tableColumn id="4" xr3:uid="{7697EFEF-572C-4518-9C44-021ED2D17180}" name="方音符號" dataDxfId="23"/>
    <tableColumn id="3" xr3:uid="{141DBB4F-3B84-415F-90EB-264F04B73BB3}" name="字典編碼" dataDxfId="22"/>
    <tableColumn id="7" xr3:uid="{68891DDC-3F35-4319-9039-E9F7A8C68D7E}" name="國際音標" dataDxfId="19"/>
    <tableColumn id="6" xr3:uid="{DA2F3FE8-33AD-4080-8A02-15751E5C76A4}" name="台語音標" dataDxfId="17">
      <calculatedColumnFormula array="1">IFERROR( INDEX(鍵盤設計表[台語音標], MATCH(TRUE, EXACT(注音編碼對照表[[#This Row],[方音符號]], 鍵盤設計表[方音符號]),0)), "")</calculatedColumnFormula>
    </tableColumn>
    <tableColumn id="10" xr3:uid="{1F82B05C-E74F-4EB6-90B5-263CA39D1166}" name="注音二式" dataDxfId="18">
      <calculatedColumnFormula array="1">IFERROR( INDEX(鍵盤設計表[注音二式], MATCH(TRUE, EXACT(注音編碼對照表[[#This Row],[方音符號]], 鍵盤設計表[方音符號]),0)),"")</calculatedColumnFormula>
    </tableColumn>
    <tableColumn id="9" xr3:uid="{022F6868-2DE9-491D-89D4-301513A24585}" name="閩拼方案" dataDxfId="21">
      <calculatedColumnFormula array="1">IFERROR( INDEX(鍵盤設計表[閩拼方案], MATCH(TRUE, EXACT(注音編碼對照表[[#This Row],[方音符號]], 鍵盤設計表[方音符號]),0)), "")</calculatedColumnFormula>
    </tableColumn>
    <tableColumn id="5" xr3:uid="{8BB33926-9000-49E8-BA4C-48F0AB9CE640}" name="聲韻調" dataDxfId="20">
      <calculatedColumnFormula array="1">IFERROR( INDEX(鍵盤設計表[聲韻調], MATCH(TRUE, EXACT(注音編碼對照表[[#This Row],[方音符號]], 鍵盤設計表[方音符號]),0)),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zi-hi.com/sp/uni/0301" TargetMode="External"/><Relationship Id="rId3" Type="http://schemas.openxmlformats.org/officeDocument/2006/relationships/hyperlink" Target="https://zi-hi.com/sp/uni/030B" TargetMode="External"/><Relationship Id="rId7" Type="http://schemas.openxmlformats.org/officeDocument/2006/relationships/hyperlink" Target="https://zi-hi.com/sp/uni/0300" TargetMode="External"/><Relationship Id="rId2" Type="http://schemas.openxmlformats.org/officeDocument/2006/relationships/hyperlink" Target="https://zi-hi.com/sp/uni/030B" TargetMode="External"/><Relationship Id="rId1" Type="http://schemas.openxmlformats.org/officeDocument/2006/relationships/hyperlink" Target="https://zi-hi.com/sp/uni/030D" TargetMode="External"/><Relationship Id="rId6" Type="http://schemas.openxmlformats.org/officeDocument/2006/relationships/hyperlink" Target="https://zi-hi.com/sp/uni/0302" TargetMode="External"/><Relationship Id="rId5" Type="http://schemas.openxmlformats.org/officeDocument/2006/relationships/hyperlink" Target="https://zi-hi.com/sp/uni/030C" TargetMode="External"/><Relationship Id="rId4" Type="http://schemas.openxmlformats.org/officeDocument/2006/relationships/hyperlink" Target="https://zi-hi.com/sp/uni/03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5C73-B89C-4939-8958-CA283A1AD30D}">
  <sheetPr>
    <tabColor rgb="FFFF0000"/>
  </sheetPr>
  <dimension ref="A1"/>
  <sheetViews>
    <sheetView workbookViewId="0"/>
  </sheetViews>
  <sheetFormatPr defaultRowHeight="21"/>
  <sheetData/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795E-49B8-46FA-B052-338BC0E85999}">
  <sheetPr>
    <tabColor rgb="FFFF0000"/>
  </sheetPr>
  <dimension ref="B1:AI102"/>
  <sheetViews>
    <sheetView topLeftCell="W1" workbookViewId="0">
      <pane ySplit="4" topLeftCell="A5" activePane="bottomLeft" state="frozen"/>
      <selection pane="bottomLeft" activeCell="O5" sqref="O5"/>
    </sheetView>
  </sheetViews>
  <sheetFormatPr defaultRowHeight="21"/>
  <cols>
    <col min="1" max="1" width="6.3984375" style="126" customWidth="1"/>
    <col min="2" max="2" width="6.69921875" style="126" customWidth="1"/>
    <col min="3" max="3" width="8.59765625" style="126" customWidth="1"/>
    <col min="4" max="4" width="10.296875" style="126" customWidth="1"/>
    <col min="5" max="6" width="8.59765625" style="126" customWidth="1"/>
    <col min="10" max="10" width="40.8984375" style="126" customWidth="1"/>
    <col min="11" max="11" width="4.19921875" style="126" customWidth="1"/>
    <col min="12" max="12" width="9.796875" style="160" bestFit="1" customWidth="1"/>
    <col min="13" max="13" width="9" style="266" customWidth="1"/>
    <col min="14" max="14" width="5.09765625" style="160" customWidth="1"/>
    <col min="15" max="21" width="8.296875" style="160" customWidth="1"/>
    <col min="22" max="22" width="40.59765625" style="160" customWidth="1"/>
    <col min="23" max="23" width="33.8984375" style="160" customWidth="1"/>
    <col min="24" max="24" width="5.796875" style="160" customWidth="1"/>
    <col min="25" max="25" width="11.296875" style="160" customWidth="1"/>
    <col min="26" max="28" width="11.296875" style="126" customWidth="1"/>
    <col min="29" max="30" width="11.09765625" style="126" bestFit="1" customWidth="1"/>
    <col min="31" max="33" width="6.3984375" style="126" customWidth="1"/>
    <col min="34" max="16384" width="8.796875" style="126"/>
  </cols>
  <sheetData>
    <row r="1" spans="2:35" ht="27" customHeight="1">
      <c r="G1" s="126"/>
      <c r="H1" s="126"/>
      <c r="I1" s="126"/>
      <c r="J1" s="160"/>
      <c r="K1" s="160"/>
      <c r="L1" s="266"/>
      <c r="M1" s="160"/>
      <c r="O1" s="220" t="s">
        <v>541</v>
      </c>
      <c r="P1" s="126"/>
      <c r="Q1" s="126"/>
      <c r="R1" s="126"/>
      <c r="S1" s="126"/>
      <c r="T1" s="126"/>
      <c r="U1" s="126"/>
      <c r="V1" s="126"/>
      <c r="X1" s="126"/>
      <c r="Y1" s="126"/>
    </row>
    <row r="2" spans="2:35" ht="27" customHeight="1">
      <c r="G2" s="126"/>
      <c r="H2" s="126"/>
      <c r="I2" s="126"/>
      <c r="J2" s="160"/>
      <c r="K2" s="160"/>
      <c r="L2" s="266"/>
      <c r="M2" s="160"/>
      <c r="O2" s="221" t="b">
        <f>LEN($E5)&gt;0</f>
        <v>1</v>
      </c>
      <c r="P2" s="126"/>
      <c r="Q2" s="126"/>
      <c r="R2" s="126"/>
      <c r="S2" s="126"/>
      <c r="T2" s="126"/>
      <c r="U2" s="126"/>
      <c r="V2" s="126"/>
      <c r="X2" s="126"/>
      <c r="Y2" s="126"/>
    </row>
    <row r="3" spans="2:35">
      <c r="G3" s="126"/>
      <c r="H3" s="126"/>
      <c r="I3" s="126"/>
      <c r="J3" s="160"/>
      <c r="K3" s="160"/>
      <c r="L3" s="266"/>
      <c r="M3" s="160"/>
      <c r="X3" s="126"/>
      <c r="Y3" s="126"/>
    </row>
    <row r="4" spans="2:35" ht="25.5">
      <c r="B4" s="251" t="s">
        <v>4</v>
      </c>
      <c r="C4" s="252" t="s">
        <v>3</v>
      </c>
      <c r="D4" s="251" t="s">
        <v>2</v>
      </c>
      <c r="E4" s="251" t="s">
        <v>6</v>
      </c>
      <c r="F4" s="251" t="s">
        <v>191</v>
      </c>
      <c r="G4" s="251" t="s">
        <v>421</v>
      </c>
      <c r="H4" s="251" t="s">
        <v>626</v>
      </c>
      <c r="I4" s="251" t="s">
        <v>544</v>
      </c>
      <c r="J4" s="253" t="s">
        <v>422</v>
      </c>
      <c r="K4" s="218"/>
      <c r="L4" s="267" t="s">
        <v>633</v>
      </c>
      <c r="M4" s="218"/>
      <c r="N4" s="193" t="s">
        <v>4</v>
      </c>
      <c r="O4" s="192" t="s">
        <v>3</v>
      </c>
      <c r="P4" s="193" t="s">
        <v>2</v>
      </c>
      <c r="Q4" s="192" t="s">
        <v>566</v>
      </c>
      <c r="R4" s="193" t="s">
        <v>421</v>
      </c>
      <c r="S4" s="193" t="s">
        <v>562</v>
      </c>
      <c r="T4" s="193" t="s">
        <v>625</v>
      </c>
      <c r="U4" s="193" t="s">
        <v>544</v>
      </c>
      <c r="V4" s="207" t="s">
        <v>422</v>
      </c>
      <c r="W4" s="218"/>
      <c r="X4" s="47" t="s">
        <v>4</v>
      </c>
      <c r="Y4" s="53" t="s">
        <v>170</v>
      </c>
      <c r="Z4" s="97" t="s">
        <v>379</v>
      </c>
      <c r="AA4" s="83" t="s">
        <v>189</v>
      </c>
      <c r="AB4" s="58" t="s">
        <v>310</v>
      </c>
      <c r="AD4" s="213" t="s">
        <v>379</v>
      </c>
      <c r="AE4" s="214" t="s">
        <v>7</v>
      </c>
      <c r="AF4" s="124" t="s">
        <v>179</v>
      </c>
      <c r="AG4" s="125" t="s">
        <v>190</v>
      </c>
      <c r="AH4" s="125" t="s">
        <v>373</v>
      </c>
      <c r="AI4" s="215" t="s">
        <v>191</v>
      </c>
    </row>
    <row r="5" spans="2:35" ht="32.25" customHeight="1">
      <c r="B5" s="197">
        <f xml:space="preserve"> ROW() - 4</f>
        <v>1</v>
      </c>
      <c r="C5" s="128" t="s">
        <v>178</v>
      </c>
      <c r="D5" s="173" t="s">
        <v>8</v>
      </c>
      <c r="E5" s="173" t="s">
        <v>109</v>
      </c>
      <c r="F5" s="173" t="s">
        <v>119</v>
      </c>
      <c r="G5" s="173" t="s">
        <v>109</v>
      </c>
      <c r="H5" s="173" t="s">
        <v>109</v>
      </c>
      <c r="I5" s="173" t="s">
        <v>545</v>
      </c>
      <c r="J5" s="249" t="s">
        <v>553</v>
      </c>
      <c r="K5" s="218" t="b">
        <f xml:space="preserve"> ISBLANK(鍵盤設計表[[#This Row],[方音符號]])</f>
        <v>0</v>
      </c>
      <c r="L5" s="267">
        <f>LEN(鍵盤設計表[[#This Row],[方音符號]])</f>
        <v>1</v>
      </c>
      <c r="M5" s="218"/>
      <c r="N5" s="197">
        <f xml:space="preserve"> ROW() - 4</f>
        <v>1</v>
      </c>
      <c r="O5" s="128" t="str" cm="1">
        <f t="array" ref="O5:V64" xml:space="preserve"> _xlfn._xlws.FILTER(鍵盤設計表[[鍵盤按鍵]:[附註]], 鍵盤設計表[聲韻調]&lt;&gt;"", "N/A")</f>
        <v>1</v>
      </c>
      <c r="P5" s="173" t="str">
        <v>ㄅ</v>
      </c>
      <c r="Q5" s="128" t="str">
        <v>b</v>
      </c>
      <c r="R5" s="173" t="str">
        <v>p</v>
      </c>
      <c r="S5" s="173" t="str">
        <v>b</v>
      </c>
      <c r="T5" s="173" t="str">
        <v>b</v>
      </c>
      <c r="U5" s="173" t="str">
        <v>聲</v>
      </c>
      <c r="V5" s="249" t="str">
        <v>p入聲韻尾編碼：【P】</v>
      </c>
      <c r="W5" s="219"/>
      <c r="X5" s="49">
        <v>1</v>
      </c>
      <c r="Y5" s="55" t="s">
        <v>178</v>
      </c>
      <c r="Z5" s="57" t="s">
        <v>109</v>
      </c>
      <c r="AA5" s="85" t="s">
        <v>8</v>
      </c>
      <c r="AB5" s="60" t="s">
        <v>109</v>
      </c>
      <c r="AD5" s="202" t="s">
        <v>178</v>
      </c>
      <c r="AE5" s="203" t="str">
        <f xml:space="preserve"> CHAR(32)</f>
        <v xml:space="preserve"> </v>
      </c>
      <c r="AF5" s="95"/>
      <c r="AG5" s="94" t="s">
        <v>263</v>
      </c>
      <c r="AH5" s="94">
        <v>1</v>
      </c>
      <c r="AI5" s="204">
        <v>1</v>
      </c>
    </row>
    <row r="6" spans="2:35" ht="32.25" customHeight="1">
      <c r="B6" s="198">
        <f xml:space="preserve"> ROW() - 4</f>
        <v>2</v>
      </c>
      <c r="C6" s="132" t="s">
        <v>192</v>
      </c>
      <c r="D6" s="175" t="s">
        <v>12</v>
      </c>
      <c r="E6" s="175" t="s">
        <v>96</v>
      </c>
      <c r="F6" s="175" t="s">
        <v>109</v>
      </c>
      <c r="G6" s="175" t="s">
        <v>374</v>
      </c>
      <c r="H6" s="175" t="s">
        <v>374</v>
      </c>
      <c r="I6" s="175" t="s">
        <v>393</v>
      </c>
      <c r="J6" s="209"/>
      <c r="K6" s="218"/>
      <c r="L6" s="267">
        <f>LEN(鍵盤設計表[[#This Row],[方音符號]])</f>
        <v>1</v>
      </c>
      <c r="M6" s="218"/>
      <c r="N6" s="198">
        <f xml:space="preserve"> ROW() - 4</f>
        <v>2</v>
      </c>
      <c r="O6" s="132" t="str">
        <v>!</v>
      </c>
      <c r="P6" s="175" t="str">
        <v>ㆠ</v>
      </c>
      <c r="Q6" s="132" t="str">
        <v>B</v>
      </c>
      <c r="R6" s="175" t="str">
        <v>b</v>
      </c>
      <c r="S6" s="175" t="str">
        <v>bb</v>
      </c>
      <c r="T6" s="175" t="str">
        <v>bb</v>
      </c>
      <c r="U6" s="175" t="str">
        <v>聲</v>
      </c>
      <c r="V6" s="209">
        <v>0</v>
      </c>
      <c r="W6" s="219"/>
      <c r="X6" s="49">
        <v>2</v>
      </c>
      <c r="Y6" s="55" t="s">
        <v>194</v>
      </c>
      <c r="Z6" s="57" t="s">
        <v>96</v>
      </c>
      <c r="AA6" s="85" t="s">
        <v>538</v>
      </c>
      <c r="AB6" s="60" t="s">
        <v>374</v>
      </c>
      <c r="AD6" s="202" t="s">
        <v>172</v>
      </c>
      <c r="AE6" s="203" t="s">
        <v>111</v>
      </c>
      <c r="AF6" s="95"/>
      <c r="AG6" s="94" t="s">
        <v>73</v>
      </c>
      <c r="AH6" s="94">
        <v>2</v>
      </c>
      <c r="AI6" s="204">
        <v>2</v>
      </c>
    </row>
    <row r="7" spans="2:35" ht="32.25" customHeight="1">
      <c r="B7" s="198">
        <f xml:space="preserve"> ROW() - 4</f>
        <v>3</v>
      </c>
      <c r="C7" s="132" t="s">
        <v>175</v>
      </c>
      <c r="D7" s="175" t="s">
        <v>10</v>
      </c>
      <c r="E7" s="175" t="s">
        <v>119</v>
      </c>
      <c r="F7" s="175" t="s">
        <v>193</v>
      </c>
      <c r="G7" s="175" t="s">
        <v>119</v>
      </c>
      <c r="H7" s="175" t="s">
        <v>119</v>
      </c>
      <c r="I7" s="175" t="s">
        <v>393</v>
      </c>
      <c r="J7" s="209"/>
      <c r="K7" s="218"/>
      <c r="L7" s="267">
        <f>LEN(鍵盤設計表[[#This Row],[方音符號]])</f>
        <v>1</v>
      </c>
      <c r="M7" s="218"/>
      <c r="N7" s="198">
        <f xml:space="preserve"> ROW() - 4</f>
        <v>3</v>
      </c>
      <c r="O7" s="132" t="str">
        <v>q</v>
      </c>
      <c r="P7" s="175" t="str">
        <v>ㄆ</v>
      </c>
      <c r="Q7" s="132" t="str">
        <v>p</v>
      </c>
      <c r="R7" s="175" t="str">
        <v>ph</v>
      </c>
      <c r="S7" s="175" t="str">
        <v>p</v>
      </c>
      <c r="T7" s="175" t="str">
        <v>p</v>
      </c>
      <c r="U7" s="175" t="str">
        <v>聲</v>
      </c>
      <c r="V7" s="209">
        <v>0</v>
      </c>
      <c r="W7" s="219"/>
      <c r="X7" s="49">
        <v>3</v>
      </c>
      <c r="Y7" s="55" t="s">
        <v>175</v>
      </c>
      <c r="Z7" s="57" t="s">
        <v>119</v>
      </c>
      <c r="AA7" s="85" t="s">
        <v>10</v>
      </c>
      <c r="AB7" s="60" t="s">
        <v>119</v>
      </c>
      <c r="AD7" s="202" t="s">
        <v>110</v>
      </c>
      <c r="AE7" s="203" t="s">
        <v>110</v>
      </c>
      <c r="AF7" s="95"/>
      <c r="AG7" s="94" t="s">
        <v>74</v>
      </c>
      <c r="AH7" s="94">
        <v>3</v>
      </c>
      <c r="AI7" s="204">
        <v>3</v>
      </c>
    </row>
    <row r="8" spans="2:35" ht="32.25" customHeight="1">
      <c r="B8" s="199">
        <f xml:space="preserve"> ROW() - 4</f>
        <v>4</v>
      </c>
      <c r="C8" s="195" t="s">
        <v>196</v>
      </c>
      <c r="D8" s="194" t="str" cm="1">
        <f t="array" ref="D8" xml:space="preserve"> IFERROR( INDEX(AA8:$AA$54, MATCH(TRUE, EXACT($C8, $Y$5:$Y$54), 0)), "")</f>
        <v/>
      </c>
      <c r="E8" s="194" t="s">
        <v>540</v>
      </c>
      <c r="F8" s="194" t="s">
        <v>540</v>
      </c>
      <c r="G8" s="194" t="s">
        <v>540</v>
      </c>
      <c r="H8" s="194" t="s">
        <v>540</v>
      </c>
      <c r="I8" s="194"/>
      <c r="J8" s="210"/>
      <c r="K8" s="218"/>
      <c r="L8" s="267">
        <f>LEN(鍵盤設計表[[#This Row],[方音符號]])</f>
        <v>0</v>
      </c>
      <c r="M8" s="218"/>
      <c r="N8" s="199">
        <f xml:space="preserve"> ROW() - 4</f>
        <v>4</v>
      </c>
      <c r="O8" s="195" t="str">
        <v>a</v>
      </c>
      <c r="P8" s="194" t="str">
        <v>ㄇ</v>
      </c>
      <c r="Q8" s="195" t="str">
        <v>m</v>
      </c>
      <c r="R8" s="194" t="str">
        <v>m</v>
      </c>
      <c r="S8" s="194" t="str">
        <v>m</v>
      </c>
      <c r="T8" s="194" t="str">
        <v>bbn</v>
      </c>
      <c r="U8" s="194" t="str">
        <v>聲</v>
      </c>
      <c r="V8" s="210" t="str">
        <v>m鼻音韻尾編碼：【M】</v>
      </c>
      <c r="W8" s="219"/>
      <c r="X8" s="49">
        <v>4</v>
      </c>
      <c r="Y8" s="55" t="s">
        <v>174</v>
      </c>
      <c r="Z8" s="57" t="s">
        <v>95</v>
      </c>
      <c r="AA8" s="85" t="s">
        <v>56</v>
      </c>
      <c r="AB8" s="60" t="s">
        <v>95</v>
      </c>
      <c r="AD8" s="202" t="s">
        <v>103</v>
      </c>
      <c r="AE8" s="203" t="s">
        <v>104</v>
      </c>
      <c r="AF8" s="95"/>
      <c r="AG8" s="94" t="s">
        <v>75</v>
      </c>
      <c r="AH8" s="94">
        <v>5</v>
      </c>
      <c r="AI8" s="204">
        <v>5</v>
      </c>
    </row>
    <row r="9" spans="2:35" ht="32.25" customHeight="1">
      <c r="B9" s="199">
        <f xml:space="preserve"> ROW() - 4</f>
        <v>5</v>
      </c>
      <c r="C9" s="195" t="s">
        <v>174</v>
      </c>
      <c r="D9" s="194" t="s">
        <v>56</v>
      </c>
      <c r="E9" s="194" t="s">
        <v>95</v>
      </c>
      <c r="F9" s="194" t="s">
        <v>95</v>
      </c>
      <c r="G9" s="194" t="s">
        <v>95</v>
      </c>
      <c r="H9" s="194" t="s">
        <v>610</v>
      </c>
      <c r="I9" s="194" t="s">
        <v>393</v>
      </c>
      <c r="J9" s="210" t="s">
        <v>550</v>
      </c>
      <c r="K9" s="218"/>
      <c r="L9" s="267">
        <f>LEN(鍵盤設計表[[#This Row],[方音符號]])</f>
        <v>1</v>
      </c>
      <c r="M9" s="218"/>
      <c r="N9" s="199">
        <f xml:space="preserve"> ROW() - 4</f>
        <v>5</v>
      </c>
      <c r="O9" s="195" t="str">
        <v>z</v>
      </c>
      <c r="P9" s="194" t="str">
        <v>ㆷ</v>
      </c>
      <c r="Q9" s="195" t="str">
        <v>V</v>
      </c>
      <c r="R9" s="194" t="str">
        <v>h</v>
      </c>
      <c r="S9" s="194" t="str">
        <v>h</v>
      </c>
      <c r="T9" s="194" t="str">
        <v>h</v>
      </c>
      <c r="U9" s="194" t="str">
        <v>韻尾</v>
      </c>
      <c r="V9" s="210" t="str">
        <v>h入聲韻尾</v>
      </c>
      <c r="W9" s="219"/>
      <c r="X9" s="49">
        <v>5</v>
      </c>
      <c r="Y9" s="55" t="s">
        <v>172</v>
      </c>
      <c r="Z9" s="57" t="s">
        <v>156</v>
      </c>
      <c r="AA9" s="85" t="s">
        <v>14</v>
      </c>
      <c r="AB9" s="60" t="s">
        <v>156</v>
      </c>
      <c r="AD9" s="202" t="s">
        <v>102</v>
      </c>
      <c r="AE9" s="203" t="s">
        <v>103</v>
      </c>
      <c r="AF9" s="95"/>
      <c r="AG9" s="94" t="s">
        <v>76</v>
      </c>
      <c r="AH9" s="94">
        <v>7</v>
      </c>
      <c r="AI9" s="204">
        <v>7</v>
      </c>
    </row>
    <row r="10" spans="2:35" ht="32.25" customHeight="1">
      <c r="B10" s="199">
        <f xml:space="preserve"> ROW() - 4</f>
        <v>6</v>
      </c>
      <c r="C10" s="195" t="s">
        <v>198</v>
      </c>
      <c r="D10" s="194"/>
      <c r="E10" s="194"/>
      <c r="F10" s="194"/>
      <c r="G10" s="194"/>
      <c r="H10" s="194"/>
      <c r="I10" s="194"/>
      <c r="J10" s="210"/>
      <c r="K10" s="218"/>
      <c r="L10" s="267">
        <f>LEN(鍵盤設計表[[#This Row],[方音符號]])</f>
        <v>0</v>
      </c>
      <c r="M10" s="218"/>
      <c r="N10" s="197">
        <f xml:space="preserve"> ROW() - 4</f>
        <v>6</v>
      </c>
      <c r="O10" s="128" t="str">
        <v>2</v>
      </c>
      <c r="P10" s="173" t="str">
        <v>ㄉ</v>
      </c>
      <c r="Q10" s="128" t="str">
        <v>d</v>
      </c>
      <c r="R10" s="173" t="str">
        <v>t</v>
      </c>
      <c r="S10" s="173" t="str">
        <v>d</v>
      </c>
      <c r="T10" s="173" t="str">
        <v>d</v>
      </c>
      <c r="U10" s="173" t="str">
        <v>聲</v>
      </c>
      <c r="V10" s="249" t="str">
        <v>t入聲韻尾編碼：【T】</v>
      </c>
      <c r="W10" s="219"/>
      <c r="X10" s="49">
        <v>6</v>
      </c>
      <c r="Y10" s="55" t="s">
        <v>169</v>
      </c>
      <c r="Z10" s="57" t="s">
        <v>15</v>
      </c>
      <c r="AA10" s="85" t="s">
        <v>16</v>
      </c>
      <c r="AB10" s="60" t="s">
        <v>15</v>
      </c>
      <c r="AD10" s="202" t="s">
        <v>121</v>
      </c>
      <c r="AE10" s="203" t="s">
        <v>102</v>
      </c>
      <c r="AF10" s="95"/>
      <c r="AG10" s="94" t="s">
        <v>77</v>
      </c>
      <c r="AH10" s="94">
        <v>48</v>
      </c>
      <c r="AI10" s="204" t="s">
        <v>312</v>
      </c>
    </row>
    <row r="11" spans="2:35" ht="32.25" customHeight="1">
      <c r="B11" s="199">
        <f xml:space="preserve"> ROW() - 4</f>
        <v>7</v>
      </c>
      <c r="C11" s="195" t="s">
        <v>181</v>
      </c>
      <c r="D11" s="194" t="s">
        <v>92</v>
      </c>
      <c r="E11" s="194" t="s">
        <v>629</v>
      </c>
      <c r="F11" s="194" t="s">
        <v>208</v>
      </c>
      <c r="G11" s="194" t="s">
        <v>208</v>
      </c>
      <c r="H11" s="194" t="s">
        <v>208</v>
      </c>
      <c r="I11" s="194" t="s">
        <v>549</v>
      </c>
      <c r="J11" s="210" t="s">
        <v>557</v>
      </c>
      <c r="K11" s="218"/>
      <c r="L11" s="267">
        <f>LEN(鍵盤設計表[[#This Row],[方音符號]])</f>
        <v>1</v>
      </c>
      <c r="M11" s="218"/>
      <c r="N11" s="198">
        <f xml:space="preserve"> ROW() - 4</f>
        <v>7</v>
      </c>
      <c r="O11" s="132" t="str">
        <v>w</v>
      </c>
      <c r="P11" s="175" t="str">
        <v>ㄊ</v>
      </c>
      <c r="Q11" s="132" t="str">
        <v>t</v>
      </c>
      <c r="R11" s="175" t="str">
        <v>th</v>
      </c>
      <c r="S11" s="175" t="str">
        <v>t</v>
      </c>
      <c r="T11" s="175" t="str">
        <v>t</v>
      </c>
      <c r="U11" s="175" t="str">
        <v>聲</v>
      </c>
      <c r="V11" s="209">
        <v>0</v>
      </c>
      <c r="W11" s="219"/>
      <c r="X11" s="49">
        <v>7</v>
      </c>
      <c r="Y11" s="55" t="s">
        <v>167</v>
      </c>
      <c r="Z11" s="57" t="s">
        <v>19</v>
      </c>
      <c r="AA11" s="85" t="s">
        <v>18</v>
      </c>
      <c r="AB11" s="60" t="s">
        <v>19</v>
      </c>
      <c r="AD11" s="202" t="s">
        <v>216</v>
      </c>
      <c r="AE11" s="203" t="s">
        <v>13</v>
      </c>
      <c r="AF11" s="205" t="s">
        <v>359</v>
      </c>
      <c r="AG11" s="94" t="s">
        <v>89</v>
      </c>
      <c r="AH11" s="94" t="s">
        <v>385</v>
      </c>
      <c r="AI11" s="206" t="s">
        <v>319</v>
      </c>
    </row>
    <row r="12" spans="2:35" ht="32.25" customHeight="1">
      <c r="B12" s="200">
        <f xml:space="preserve"> ROW() - 4</f>
        <v>8</v>
      </c>
      <c r="C12" s="136" t="s">
        <v>182</v>
      </c>
      <c r="D12" s="177"/>
      <c r="E12" s="177"/>
      <c r="F12" s="177"/>
      <c r="G12" s="177"/>
      <c r="H12" s="177"/>
      <c r="I12" s="177"/>
      <c r="J12" s="211"/>
      <c r="K12" s="218"/>
      <c r="L12" s="267">
        <f>LEN(鍵盤設計表[[#This Row],[方音符號]])</f>
        <v>0</v>
      </c>
      <c r="M12" s="218"/>
      <c r="N12" s="199">
        <f xml:space="preserve"> ROW() - 4</f>
        <v>8</v>
      </c>
      <c r="O12" s="195" t="str">
        <v>s</v>
      </c>
      <c r="P12" s="194" t="str">
        <v>ㄋ</v>
      </c>
      <c r="Q12" s="195" t="str">
        <v>n</v>
      </c>
      <c r="R12" s="194" t="str">
        <v>n</v>
      </c>
      <c r="S12" s="194" t="str">
        <v>n</v>
      </c>
      <c r="T12" s="194" t="str">
        <v>ln</v>
      </c>
      <c r="U12" s="194" t="str">
        <v>聲</v>
      </c>
      <c r="V12" s="210" t="str">
        <v>n鼻音韻尾編碼：【N】</v>
      </c>
      <c r="W12" s="219"/>
      <c r="X12" s="49">
        <v>8</v>
      </c>
      <c r="Y12" s="55" t="s">
        <v>164</v>
      </c>
      <c r="Z12" s="57" t="s">
        <v>59</v>
      </c>
      <c r="AA12" s="85" t="s">
        <v>58</v>
      </c>
      <c r="AB12" s="60" t="s">
        <v>59</v>
      </c>
      <c r="AD12" s="202" t="s">
        <v>218</v>
      </c>
      <c r="AE12" s="203" t="s">
        <v>168</v>
      </c>
      <c r="AF12" s="205" t="s">
        <v>360</v>
      </c>
      <c r="AG12" s="94" t="s">
        <v>90</v>
      </c>
      <c r="AH12" s="94" t="s">
        <v>387</v>
      </c>
      <c r="AI12" s="206" t="s">
        <v>320</v>
      </c>
    </row>
    <row r="13" spans="2:35" ht="32.25" customHeight="1">
      <c r="B13" s="197">
        <f xml:space="preserve"> ROW() - 4</f>
        <v>9</v>
      </c>
      <c r="C13" s="128" t="s">
        <v>172</v>
      </c>
      <c r="D13" s="173" t="s">
        <v>14</v>
      </c>
      <c r="E13" s="173" t="s">
        <v>156</v>
      </c>
      <c r="F13" s="173" t="s">
        <v>15</v>
      </c>
      <c r="G13" s="173" t="s">
        <v>156</v>
      </c>
      <c r="H13" s="173" t="s">
        <v>156</v>
      </c>
      <c r="I13" s="173" t="s">
        <v>393</v>
      </c>
      <c r="J13" s="249" t="s">
        <v>559</v>
      </c>
      <c r="K13" s="218"/>
      <c r="L13" s="267">
        <f>LEN(鍵盤設計表[[#This Row],[方音符號]])</f>
        <v>1</v>
      </c>
      <c r="M13" s="218"/>
      <c r="N13" s="199">
        <f xml:space="preserve"> ROW() - 4</f>
        <v>9</v>
      </c>
      <c r="O13" s="195" t="str">
        <v>x</v>
      </c>
      <c r="P13" s="194" t="str">
        <v>ㄌ</v>
      </c>
      <c r="Q13" s="195" t="str">
        <v>l</v>
      </c>
      <c r="R13" s="194" t="str">
        <v>l</v>
      </c>
      <c r="S13" s="194" t="str">
        <v>l</v>
      </c>
      <c r="T13" s="194" t="str">
        <v>l</v>
      </c>
      <c r="U13" s="194" t="str">
        <v>聲</v>
      </c>
      <c r="V13" s="210">
        <v>0</v>
      </c>
      <c r="W13" s="219"/>
      <c r="X13" s="49">
        <v>9</v>
      </c>
      <c r="Y13" s="55" t="s">
        <v>162</v>
      </c>
      <c r="Z13" s="57" t="s">
        <v>107</v>
      </c>
      <c r="AA13" s="85" t="s">
        <v>20</v>
      </c>
      <c r="AB13" s="60" t="s">
        <v>107</v>
      </c>
      <c r="AD13" s="202" t="s">
        <v>221</v>
      </c>
      <c r="AE13" s="203" t="s">
        <v>24</v>
      </c>
      <c r="AF13" s="205" t="s">
        <v>361</v>
      </c>
      <c r="AG13" s="94" t="s">
        <v>91</v>
      </c>
      <c r="AH13" s="94" t="s">
        <v>386</v>
      </c>
      <c r="AI13" s="206" t="s">
        <v>321</v>
      </c>
    </row>
    <row r="14" spans="2:35" ht="32.25" customHeight="1">
      <c r="B14" s="198">
        <f xml:space="preserve"> ROW() - 4</f>
        <v>10</v>
      </c>
      <c r="C14" s="132" t="s">
        <v>199</v>
      </c>
      <c r="D14" s="175" t="str" cm="1">
        <f t="array" ref="D14" xml:space="preserve"> IFERROR( INDEX(AA15:$AA$54, MATCH(TRUE, EXACT($C14, $Y$5:$Y$54), 0)), "")</f>
        <v/>
      </c>
      <c r="E14" s="175" t="s">
        <v>540</v>
      </c>
      <c r="F14" s="175" t="s">
        <v>540</v>
      </c>
      <c r="G14" s="175" t="s">
        <v>540</v>
      </c>
      <c r="H14" s="175" t="s">
        <v>540</v>
      </c>
      <c r="I14" s="175"/>
      <c r="J14" s="209"/>
      <c r="K14" s="218"/>
      <c r="L14" s="267">
        <f>LEN(鍵盤設計表[[#This Row],[方音符號]])</f>
        <v>0</v>
      </c>
      <c r="M14" s="218"/>
      <c r="N14" s="197">
        <f xml:space="preserve"> ROW() - 4</f>
        <v>10</v>
      </c>
      <c r="O14" s="128">
        <v>3</v>
      </c>
      <c r="P14" s="173" t="str">
        <v>˪</v>
      </c>
      <c r="Q14" s="128">
        <v>5</v>
      </c>
      <c r="R14" s="173">
        <v>3</v>
      </c>
      <c r="S14" s="173">
        <v>3</v>
      </c>
      <c r="T14" s="173">
        <v>5</v>
      </c>
      <c r="U14" s="173" t="str">
        <v>調</v>
      </c>
      <c r="V14" s="208">
        <v>0</v>
      </c>
      <c r="W14" s="219"/>
      <c r="X14" s="49">
        <v>10</v>
      </c>
      <c r="Y14" s="55" t="s">
        <v>159</v>
      </c>
      <c r="Z14" s="57" t="s">
        <v>94</v>
      </c>
      <c r="AA14" s="85" t="s">
        <v>23</v>
      </c>
      <c r="AB14" s="60" t="s">
        <v>375</v>
      </c>
      <c r="AD14" s="202" t="s">
        <v>150</v>
      </c>
      <c r="AE14" s="203" t="s">
        <v>150</v>
      </c>
      <c r="AF14" s="205" t="s">
        <v>362</v>
      </c>
      <c r="AG14" s="94" t="s">
        <v>325</v>
      </c>
      <c r="AH14" s="94" t="s">
        <v>388</v>
      </c>
      <c r="AI14" s="206" t="s">
        <v>322</v>
      </c>
    </row>
    <row r="15" spans="2:35" ht="32.25" customHeight="1">
      <c r="B15" s="198">
        <f xml:space="preserve"> ROW() - 4</f>
        <v>11</v>
      </c>
      <c r="C15" s="132" t="s">
        <v>169</v>
      </c>
      <c r="D15" s="175" t="s">
        <v>16</v>
      </c>
      <c r="E15" s="175" t="s">
        <v>15</v>
      </c>
      <c r="F15" s="175" t="s">
        <v>17</v>
      </c>
      <c r="G15" s="175" t="s">
        <v>15</v>
      </c>
      <c r="H15" s="175" t="s">
        <v>15</v>
      </c>
      <c r="I15" s="175" t="s">
        <v>393</v>
      </c>
      <c r="J15" s="209"/>
      <c r="K15" s="218"/>
      <c r="L15" s="267">
        <f>LEN(鍵盤設計表[[#This Row],[方音符號]])</f>
        <v>1</v>
      </c>
      <c r="M15" s="218"/>
      <c r="N15" s="198">
        <f xml:space="preserve"> ROW() - 4</f>
        <v>11</v>
      </c>
      <c r="O15" s="132" t="str">
        <v>e</v>
      </c>
      <c r="P15" s="175" t="str">
        <v>ㄍ</v>
      </c>
      <c r="Q15" s="132" t="str">
        <v>g</v>
      </c>
      <c r="R15" s="175" t="str">
        <v>k</v>
      </c>
      <c r="S15" s="175" t="str">
        <v>g</v>
      </c>
      <c r="T15" s="175" t="str">
        <v>g</v>
      </c>
      <c r="U15" s="175" t="str">
        <v>聲</v>
      </c>
      <c r="V15" s="209" t="str">
        <v>k入聲編碼：【K】</v>
      </c>
      <c r="W15" s="219"/>
      <c r="X15" s="49">
        <v>11</v>
      </c>
      <c r="Y15" s="55" t="s">
        <v>156</v>
      </c>
      <c r="Z15" s="57" t="s">
        <v>21</v>
      </c>
      <c r="AA15" s="85" t="s">
        <v>22</v>
      </c>
      <c r="AB15" s="60" t="s">
        <v>21</v>
      </c>
    </row>
    <row r="16" spans="2:35" ht="32.25" customHeight="1">
      <c r="B16" s="199">
        <f xml:space="preserve"> ROW() - 4</f>
        <v>12</v>
      </c>
      <c r="C16" s="195" t="s">
        <v>202</v>
      </c>
      <c r="D16" s="194" t="str" cm="1">
        <f t="array" ref="D16" xml:space="preserve"> IFERROR( INDEX(AA17:$AA$54, MATCH(TRUE, EXACT($C16, $Y$5:$Y$54), 0)), "")</f>
        <v/>
      </c>
      <c r="E16" s="194" t="s">
        <v>540</v>
      </c>
      <c r="F16" s="194" t="s">
        <v>540</v>
      </c>
      <c r="G16" s="194" t="s">
        <v>540</v>
      </c>
      <c r="H16" s="194" t="s">
        <v>540</v>
      </c>
      <c r="I16" s="194"/>
      <c r="J16" s="210"/>
      <c r="K16" s="218"/>
      <c r="L16" s="267">
        <f>LEN(鍵盤設計表[[#This Row],[方音符號]])</f>
        <v>0</v>
      </c>
      <c r="M16" s="218"/>
      <c r="N16" s="199">
        <f xml:space="preserve"> ROW() - 4</f>
        <v>12</v>
      </c>
      <c r="O16" s="195" t="str">
        <v>E</v>
      </c>
      <c r="P16" s="194" t="str">
        <v>ㆣ</v>
      </c>
      <c r="Q16" s="195" t="str">
        <v>v</v>
      </c>
      <c r="R16" s="194" t="str">
        <v>g</v>
      </c>
      <c r="S16" s="194" t="str">
        <v>gg</v>
      </c>
      <c r="T16" s="194" t="str">
        <v>gg</v>
      </c>
      <c r="U16" s="194" t="str">
        <v>聲</v>
      </c>
      <c r="V16" s="210">
        <v>0</v>
      </c>
      <c r="W16" s="219"/>
      <c r="X16" s="49">
        <v>12</v>
      </c>
      <c r="Y16" s="55" t="s">
        <v>106</v>
      </c>
      <c r="Z16" s="57" t="s">
        <v>169</v>
      </c>
      <c r="AA16" s="85" t="s">
        <v>60</v>
      </c>
      <c r="AB16" s="60" t="s">
        <v>315</v>
      </c>
    </row>
    <row r="17" spans="2:28" ht="32.25" customHeight="1">
      <c r="B17" s="199">
        <f xml:space="preserve"> ROW() - 4</f>
        <v>13</v>
      </c>
      <c r="C17" s="195" t="s">
        <v>167</v>
      </c>
      <c r="D17" s="194" t="s">
        <v>18</v>
      </c>
      <c r="E17" s="194" t="s">
        <v>19</v>
      </c>
      <c r="F17" s="194" t="s">
        <v>19</v>
      </c>
      <c r="G17" s="194" t="s">
        <v>19</v>
      </c>
      <c r="H17" s="194" t="s">
        <v>611</v>
      </c>
      <c r="I17" s="194" t="s">
        <v>393</v>
      </c>
      <c r="J17" s="210" t="s">
        <v>551</v>
      </c>
      <c r="K17" s="218"/>
      <c r="L17" s="267">
        <f>LEN(鍵盤設計表[[#This Row],[方音符號]])</f>
        <v>1</v>
      </c>
      <c r="M17" s="218"/>
      <c r="N17" s="199">
        <f xml:space="preserve"> ROW() - 4</f>
        <v>13</v>
      </c>
      <c r="O17" s="195" t="str">
        <v>d</v>
      </c>
      <c r="P17" s="194" t="str">
        <v>ㄎ</v>
      </c>
      <c r="Q17" s="195" t="str">
        <v>k</v>
      </c>
      <c r="R17" s="194" t="str">
        <v>kh</v>
      </c>
      <c r="S17" s="194" t="str">
        <v>k</v>
      </c>
      <c r="T17" s="194" t="str">
        <v>k</v>
      </c>
      <c r="U17" s="194" t="str">
        <v>聲</v>
      </c>
      <c r="V17" s="210">
        <v>0</v>
      </c>
      <c r="W17" s="219"/>
      <c r="X17" s="49">
        <v>13</v>
      </c>
      <c r="Y17" s="55" t="s">
        <v>152</v>
      </c>
      <c r="Z17" s="57" t="s">
        <v>208</v>
      </c>
      <c r="AA17" s="85" t="s">
        <v>32</v>
      </c>
      <c r="AB17" s="60" t="s">
        <v>208</v>
      </c>
    </row>
    <row r="18" spans="2:28" ht="32.25" customHeight="1">
      <c r="B18" s="199">
        <f xml:space="preserve"> ROW() - 4</f>
        <v>14</v>
      </c>
      <c r="C18" s="195" t="s">
        <v>184</v>
      </c>
      <c r="D18" s="194" t="str" cm="1">
        <f t="array" ref="D18" xml:space="preserve"> IFERROR( INDEX(AA24:$AA$54, MATCH(TRUE, EXACT($C18, $Y$5:$Y$54), 0)), "")</f>
        <v/>
      </c>
      <c r="E18" s="194" t="s">
        <v>540</v>
      </c>
      <c r="F18" s="194" t="s">
        <v>540</v>
      </c>
      <c r="G18" s="194" t="s">
        <v>540</v>
      </c>
      <c r="H18" s="194" t="s">
        <v>540</v>
      </c>
      <c r="I18" s="194"/>
      <c r="J18" s="210"/>
      <c r="K18" s="218"/>
      <c r="L18" s="267">
        <f>LEN(鍵盤設計表[[#This Row],[方音符號]])</f>
        <v>0</v>
      </c>
      <c r="M18" s="218"/>
      <c r="N18" s="199">
        <f xml:space="preserve"> ROW() - 4</f>
        <v>14</v>
      </c>
      <c r="O18" s="195" t="str">
        <v>c</v>
      </c>
      <c r="P18" s="194" t="str">
        <v>ㄏ</v>
      </c>
      <c r="Q18" s="195" t="str">
        <v>h</v>
      </c>
      <c r="R18" s="194" t="str">
        <v>h</v>
      </c>
      <c r="S18" s="194" t="str">
        <v>h</v>
      </c>
      <c r="T18" s="194" t="str">
        <v>h</v>
      </c>
      <c r="U18" s="194" t="str">
        <v>聲</v>
      </c>
      <c r="V18" s="210" t="str">
        <v>h入聲韻尾編碼：【H】</v>
      </c>
      <c r="W18" s="219"/>
      <c r="X18" s="49">
        <v>14</v>
      </c>
      <c r="Y18" s="55" t="s">
        <v>148</v>
      </c>
      <c r="Z18" s="57" t="s">
        <v>532</v>
      </c>
      <c r="AA18" s="85" t="s">
        <v>61</v>
      </c>
      <c r="AB18" s="60" t="s">
        <v>222</v>
      </c>
    </row>
    <row r="19" spans="2:28" ht="32.25" customHeight="1">
      <c r="B19" s="199">
        <f xml:space="preserve"> ROW() - 4</f>
        <v>15</v>
      </c>
      <c r="C19" s="195" t="s">
        <v>203</v>
      </c>
      <c r="D19" s="194" t="s">
        <v>58</v>
      </c>
      <c r="E19" s="194" t="s">
        <v>59</v>
      </c>
      <c r="F19" s="194" t="s">
        <v>59</v>
      </c>
      <c r="G19" s="194" t="s">
        <v>59</v>
      </c>
      <c r="H19" s="194" t="s">
        <v>59</v>
      </c>
      <c r="I19" s="194" t="s">
        <v>393</v>
      </c>
      <c r="J19" s="210"/>
      <c r="K19" s="218"/>
      <c r="L19" s="267">
        <f>LEN(鍵盤設計表[[#This Row],[方音符號]])</f>
        <v>1</v>
      </c>
      <c r="M19" s="218"/>
      <c r="N19" s="197">
        <f xml:space="preserve"> ROW() - 4</f>
        <v>15</v>
      </c>
      <c r="O19" s="128">
        <v>4</v>
      </c>
      <c r="P19" s="173" t="str">
        <v>ˋ</v>
      </c>
      <c r="Q19" s="128">
        <v>3</v>
      </c>
      <c r="R19" s="173">
        <v>2</v>
      </c>
      <c r="S19" s="173">
        <v>2</v>
      </c>
      <c r="T19" s="173">
        <v>3</v>
      </c>
      <c r="U19" s="173" t="str">
        <v>調</v>
      </c>
      <c r="V19" s="208">
        <v>0</v>
      </c>
      <c r="W19" s="219"/>
      <c r="X19" s="49">
        <v>15</v>
      </c>
      <c r="Y19" s="55" t="s">
        <v>284</v>
      </c>
      <c r="Z19" s="57" t="s">
        <v>533</v>
      </c>
      <c r="AA19" s="85" t="s">
        <v>78</v>
      </c>
      <c r="AB19" s="60" t="s">
        <v>433</v>
      </c>
    </row>
    <row r="20" spans="2:28" ht="32.25" customHeight="1">
      <c r="B20" s="200">
        <f xml:space="preserve"> ROW() - 4</f>
        <v>16</v>
      </c>
      <c r="C20" s="136" t="s">
        <v>204</v>
      </c>
      <c r="D20" s="177" t="str" cm="1">
        <f t="array" ref="D20" xml:space="preserve"> IFERROR( INDEX(AA25:$AA$54, MATCH(TRUE, EXACT($C20, $Y$5:$Y$54), 0)), "")</f>
        <v/>
      </c>
      <c r="E20" s="177" t="s">
        <v>540</v>
      </c>
      <c r="F20" s="177" t="s">
        <v>540</v>
      </c>
      <c r="G20" s="177" t="s">
        <v>540</v>
      </c>
      <c r="H20" s="177" t="s">
        <v>540</v>
      </c>
      <c r="I20" s="177"/>
      <c r="J20" s="211"/>
      <c r="K20" s="218"/>
      <c r="L20" s="267">
        <f>LEN(鍵盤設計表[[#This Row],[方音符號]])</f>
        <v>0</v>
      </c>
      <c r="M20" s="218"/>
      <c r="N20" s="199">
        <f xml:space="preserve"> ROW() - 4</f>
        <v>16</v>
      </c>
      <c r="O20" s="195" t="str">
        <v>r</v>
      </c>
      <c r="P20" s="194" t="str">
        <v>ㄐ</v>
      </c>
      <c r="Q20" s="216" t="str">
        <v>j</v>
      </c>
      <c r="R20" s="194" t="str">
        <v>zi</v>
      </c>
      <c r="S20" s="194" t="str">
        <v>j</v>
      </c>
      <c r="T20" s="194" t="str">
        <v>j</v>
      </c>
      <c r="U20" s="194" t="str">
        <v>聲</v>
      </c>
      <c r="V20" s="210">
        <v>0</v>
      </c>
      <c r="W20" s="219"/>
      <c r="X20" s="49">
        <v>16</v>
      </c>
      <c r="Y20" s="55" t="s">
        <v>308</v>
      </c>
      <c r="Z20" s="57" t="s">
        <v>211</v>
      </c>
      <c r="AA20" s="85" t="s">
        <v>63</v>
      </c>
      <c r="AB20" s="60" t="s">
        <v>212</v>
      </c>
    </row>
    <row r="21" spans="2:28" ht="32.25" customHeight="1">
      <c r="B21" s="197">
        <f xml:space="preserve"> ROW() - 4</f>
        <v>17</v>
      </c>
      <c r="C21" s="128">
        <v>3</v>
      </c>
      <c r="D21" s="173" t="s">
        <v>74</v>
      </c>
      <c r="E21" s="248">
        <v>5</v>
      </c>
      <c r="F21" s="173">
        <v>3</v>
      </c>
      <c r="G21" s="173">
        <v>3</v>
      </c>
      <c r="H21" s="248">
        <v>5</v>
      </c>
      <c r="I21" s="173" t="s">
        <v>546</v>
      </c>
      <c r="J21" s="208"/>
      <c r="K21" s="218"/>
      <c r="L21" s="267">
        <f>LEN(鍵盤設計表[[#This Row],[方音符號]])</f>
        <v>1</v>
      </c>
      <c r="M21" s="218"/>
      <c r="N21" s="199">
        <f xml:space="preserve"> ROW() - 4</f>
        <v>17</v>
      </c>
      <c r="O21" s="195" t="str">
        <v>R</v>
      </c>
      <c r="P21" s="194" t="str">
        <v>ㆢ</v>
      </c>
      <c r="Q21" s="217" t="str">
        <v>J</v>
      </c>
      <c r="R21" s="194" t="str">
        <v>ji</v>
      </c>
      <c r="S21" s="194" t="str">
        <v>jj</v>
      </c>
      <c r="T21" s="194" t="str">
        <v>jj</v>
      </c>
      <c r="U21" s="194" t="str">
        <v>聲</v>
      </c>
      <c r="V21" s="210">
        <v>0</v>
      </c>
      <c r="W21" s="219"/>
      <c r="X21" s="49">
        <v>17</v>
      </c>
      <c r="Y21" s="55" t="s">
        <v>309</v>
      </c>
      <c r="Z21" s="57" t="s">
        <v>214</v>
      </c>
      <c r="AA21" s="85" t="s">
        <v>149</v>
      </c>
      <c r="AB21" s="60" t="s">
        <v>437</v>
      </c>
    </row>
    <row r="22" spans="2:28" ht="32.25" customHeight="1">
      <c r="B22" s="198">
        <f xml:space="preserve"> ROW() - 4</f>
        <v>18</v>
      </c>
      <c r="C22" s="132" t="s">
        <v>205</v>
      </c>
      <c r="D22" s="175" t="str" cm="1">
        <f t="array" ref="D22" xml:space="preserve"> IFERROR( INDEX(AA27:$AA$54, MATCH(TRUE, EXACT($C22, $Y$5:$Y$54), 0)), "")</f>
        <v/>
      </c>
      <c r="E22" s="175" t="s">
        <v>540</v>
      </c>
      <c r="F22" s="175" t="s">
        <v>540</v>
      </c>
      <c r="G22" s="175" t="s">
        <v>540</v>
      </c>
      <c r="H22" s="175" t="s">
        <v>540</v>
      </c>
      <c r="I22" s="175"/>
      <c r="J22" s="209"/>
      <c r="K22" s="218"/>
      <c r="L22" s="267">
        <f>LEN(鍵盤設計表[[#This Row],[方音符號]])</f>
        <v>0</v>
      </c>
      <c r="M22" s="218"/>
      <c r="N22" s="199">
        <f xml:space="preserve"> ROW() - 4</f>
        <v>18</v>
      </c>
      <c r="O22" s="195" t="str">
        <v>f</v>
      </c>
      <c r="P22" s="194" t="str">
        <v>ㄑ</v>
      </c>
      <c r="Q22" s="217" t="str">
        <v>C</v>
      </c>
      <c r="R22" s="194" t="str">
        <v>ci</v>
      </c>
      <c r="S22" s="194" t="str">
        <v>ch</v>
      </c>
      <c r="T22" s="194" t="str">
        <v>ch</v>
      </c>
      <c r="U22" s="194" t="str">
        <v>聲</v>
      </c>
      <c r="V22" s="210">
        <v>0</v>
      </c>
      <c r="W22" s="219"/>
      <c r="X22" s="49">
        <v>18</v>
      </c>
      <c r="Y22" s="55" t="s">
        <v>303</v>
      </c>
      <c r="Z22" s="57" t="s">
        <v>106</v>
      </c>
      <c r="AA22" s="85" t="s">
        <v>25</v>
      </c>
      <c r="AB22" s="60" t="s">
        <v>106</v>
      </c>
    </row>
    <row r="23" spans="2:28" ht="32.25" customHeight="1">
      <c r="B23" s="198">
        <f xml:space="preserve"> ROW() - 4</f>
        <v>19</v>
      </c>
      <c r="C23" s="132" t="s">
        <v>162</v>
      </c>
      <c r="D23" s="175" t="s">
        <v>20</v>
      </c>
      <c r="E23" s="175" t="s">
        <v>107</v>
      </c>
      <c r="F23" s="175" t="s">
        <v>21</v>
      </c>
      <c r="G23" s="175" t="s">
        <v>107</v>
      </c>
      <c r="H23" s="175" t="s">
        <v>107</v>
      </c>
      <c r="I23" s="175" t="s">
        <v>393</v>
      </c>
      <c r="J23" s="209" t="s">
        <v>558</v>
      </c>
      <c r="K23" s="218"/>
      <c r="L23" s="267">
        <f>LEN(鍵盤設計表[[#This Row],[方音符號]])</f>
        <v>1</v>
      </c>
      <c r="M23" s="218"/>
      <c r="N23" s="199">
        <f xml:space="preserve"> ROW() - 4</f>
        <v>19</v>
      </c>
      <c r="O23" s="195" t="str">
        <v>v</v>
      </c>
      <c r="P23" s="194" t="str">
        <v>ㄒ</v>
      </c>
      <c r="Q23" s="217" t="str">
        <v>S</v>
      </c>
      <c r="R23" s="194" t="str">
        <v>si</v>
      </c>
      <c r="S23" s="194" t="str">
        <v>sh</v>
      </c>
      <c r="T23" s="194" t="str">
        <v>sh</v>
      </c>
      <c r="U23" s="194" t="str">
        <v>聲</v>
      </c>
      <c r="V23" s="210">
        <v>0</v>
      </c>
      <c r="W23" s="219"/>
      <c r="X23" s="49">
        <v>19</v>
      </c>
      <c r="Y23" s="55" t="s">
        <v>223</v>
      </c>
      <c r="Z23" s="57" t="s">
        <v>224</v>
      </c>
      <c r="AA23" s="85" t="s">
        <v>28</v>
      </c>
      <c r="AB23" s="60" t="s">
        <v>376</v>
      </c>
    </row>
    <row r="24" spans="2:28" ht="32.25" customHeight="1">
      <c r="B24" s="199">
        <f xml:space="preserve"> ROW() - 4</f>
        <v>20</v>
      </c>
      <c r="C24" s="195" t="s">
        <v>207</v>
      </c>
      <c r="D24" s="194" t="s">
        <v>23</v>
      </c>
      <c r="E24" s="194" t="s">
        <v>220</v>
      </c>
      <c r="F24" s="194" t="s">
        <v>107</v>
      </c>
      <c r="G24" s="194" t="s">
        <v>375</v>
      </c>
      <c r="H24" s="194" t="s">
        <v>375</v>
      </c>
      <c r="I24" s="194" t="s">
        <v>393</v>
      </c>
      <c r="J24" s="210"/>
      <c r="K24" s="218"/>
      <c r="L24" s="267">
        <f>LEN(鍵盤設計表[[#This Row],[方音符號]])</f>
        <v>1</v>
      </c>
      <c r="M24" s="218"/>
      <c r="N24" s="197">
        <f xml:space="preserve"> ROW() - 4</f>
        <v>20</v>
      </c>
      <c r="O24" s="128">
        <v>5</v>
      </c>
      <c r="P24" s="173" t="str">
        <v>˫</v>
      </c>
      <c r="Q24" s="128">
        <v>6</v>
      </c>
      <c r="R24" s="173">
        <v>7</v>
      </c>
      <c r="S24" s="173">
        <v>7</v>
      </c>
      <c r="T24" s="173">
        <v>6</v>
      </c>
      <c r="U24" s="173" t="str">
        <v>調</v>
      </c>
      <c r="V24" s="208">
        <v>0</v>
      </c>
      <c r="W24" s="219"/>
      <c r="X24" s="49">
        <v>20</v>
      </c>
      <c r="Y24" s="55" t="s">
        <v>208</v>
      </c>
      <c r="Z24" s="57" t="s">
        <v>152</v>
      </c>
      <c r="AA24" s="85" t="s">
        <v>27</v>
      </c>
      <c r="AB24" s="60" t="s">
        <v>152</v>
      </c>
    </row>
    <row r="25" spans="2:28" ht="32.25" customHeight="1">
      <c r="B25" s="199">
        <f xml:space="preserve"> ROW() - 4</f>
        <v>21</v>
      </c>
      <c r="C25" s="195" t="s">
        <v>161</v>
      </c>
      <c r="D25" s="194" t="s">
        <v>22</v>
      </c>
      <c r="E25" s="194" t="s">
        <v>21</v>
      </c>
      <c r="F25" s="194" t="s">
        <v>206</v>
      </c>
      <c r="G25" s="194" t="s">
        <v>21</v>
      </c>
      <c r="H25" s="194" t="s">
        <v>21</v>
      </c>
      <c r="I25" s="194" t="s">
        <v>393</v>
      </c>
      <c r="J25" s="210"/>
      <c r="K25" s="218"/>
      <c r="L25" s="267">
        <f>LEN(鍵盤設計表[[#This Row],[方音符號]])</f>
        <v>1</v>
      </c>
      <c r="M25" s="218"/>
      <c r="N25" s="199">
        <f xml:space="preserve"> ROW() - 4</f>
        <v>21</v>
      </c>
      <c r="O25" s="195" t="str">
        <v>t</v>
      </c>
      <c r="P25" s="194" t="str">
        <v>ㆵ</v>
      </c>
      <c r="Q25" s="195" t="str">
        <v>T</v>
      </c>
      <c r="R25" s="194" t="str">
        <v>t</v>
      </c>
      <c r="S25" s="194" t="str">
        <v>t</v>
      </c>
      <c r="T25" s="194" t="str">
        <v>t</v>
      </c>
      <c r="U25" s="194" t="str">
        <v>韻尾</v>
      </c>
      <c r="V25" s="210" t="str">
        <v>t入聲韻尾</v>
      </c>
      <c r="W25" s="219"/>
      <c r="X25" s="49">
        <v>21</v>
      </c>
      <c r="Y25" s="55" t="s">
        <v>19</v>
      </c>
      <c r="Z25" s="57" t="s">
        <v>167</v>
      </c>
      <c r="AA25" s="85" t="s">
        <v>30</v>
      </c>
      <c r="AB25" s="60" t="s">
        <v>167</v>
      </c>
    </row>
    <row r="26" spans="2:28" ht="32.25" customHeight="1">
      <c r="B26" s="199">
        <f xml:space="preserve"> ROW() - 4</f>
        <v>22</v>
      </c>
      <c r="C26" s="195" t="s">
        <v>210</v>
      </c>
      <c r="D26" s="194" t="str" cm="1">
        <f t="array" ref="D26" xml:space="preserve"> IFERROR( INDEX(AA31:$AA$54, MATCH(TRUE, EXACT($C26, $Y$5:$Y$54), 0)), "")</f>
        <v/>
      </c>
      <c r="E26" s="194" t="s">
        <v>540</v>
      </c>
      <c r="F26" s="194" t="s">
        <v>540</v>
      </c>
      <c r="G26" s="194" t="s">
        <v>540</v>
      </c>
      <c r="H26" s="194" t="s">
        <v>540</v>
      </c>
      <c r="I26" s="194"/>
      <c r="J26" s="210"/>
      <c r="K26" s="218"/>
      <c r="L26" s="267">
        <f>LEN(鍵盤設計表[[#This Row],[方音符號]])</f>
        <v>0</v>
      </c>
      <c r="M26" s="218"/>
      <c r="N26" s="199">
        <f xml:space="preserve"> ROW() - 4</f>
        <v>22</v>
      </c>
      <c r="O26" s="195" t="str">
        <v>g</v>
      </c>
      <c r="P26" s="194" t="str">
        <v>ㆻ</v>
      </c>
      <c r="Q26" s="195" t="str">
        <v>K</v>
      </c>
      <c r="R26" s="194" t="str">
        <v>k</v>
      </c>
      <c r="S26" s="194" t="str">
        <v>k</v>
      </c>
      <c r="T26" s="194" t="str">
        <v>k</v>
      </c>
      <c r="U26" s="194" t="str">
        <v>韻尾</v>
      </c>
      <c r="V26" s="210" t="str">
        <v>k入聲韻尾</v>
      </c>
      <c r="W26" s="219"/>
      <c r="X26" s="49">
        <v>22</v>
      </c>
      <c r="Y26" s="55" t="s">
        <v>113</v>
      </c>
      <c r="Z26" s="57" t="s">
        <v>146</v>
      </c>
      <c r="AA26" s="85" t="s">
        <v>34</v>
      </c>
      <c r="AB26" s="60" t="s">
        <v>146</v>
      </c>
    </row>
    <row r="27" spans="2:28" ht="32.25" customHeight="1">
      <c r="B27" s="199">
        <f xml:space="preserve"> ROW() - 4</f>
        <v>23</v>
      </c>
      <c r="C27" s="195" t="s">
        <v>151</v>
      </c>
      <c r="D27" s="194" t="s">
        <v>32</v>
      </c>
      <c r="E27" s="194" t="s">
        <v>208</v>
      </c>
      <c r="F27" s="194" t="s">
        <v>208</v>
      </c>
      <c r="G27" s="194" t="s">
        <v>208</v>
      </c>
      <c r="H27" s="194" t="s">
        <v>208</v>
      </c>
      <c r="I27" s="194" t="s">
        <v>393</v>
      </c>
      <c r="J27" s="210" t="s">
        <v>552</v>
      </c>
      <c r="K27" s="218"/>
      <c r="L27" s="267">
        <f>LEN(鍵盤設計表[[#This Row],[方音符號]])</f>
        <v>1</v>
      </c>
      <c r="M27" s="218"/>
      <c r="N27" s="198">
        <f xml:space="preserve"> ROW() - 4</f>
        <v>23</v>
      </c>
      <c r="O27" s="132" t="str">
        <v>b</v>
      </c>
      <c r="P27" s="175" t="str">
        <v>ㆴ</v>
      </c>
      <c r="Q27" s="132" t="str">
        <v>P</v>
      </c>
      <c r="R27" s="175" t="str">
        <v>p</v>
      </c>
      <c r="S27" s="175" t="str">
        <v>p</v>
      </c>
      <c r="T27" s="194" t="str">
        <v>p</v>
      </c>
      <c r="U27" s="194" t="str">
        <v>韻尾</v>
      </c>
      <c r="V27" s="210" t="str">
        <v>p入聲韻尾</v>
      </c>
      <c r="W27" s="219"/>
      <c r="X27" s="49">
        <v>23</v>
      </c>
      <c r="Y27" s="55" t="s">
        <v>135</v>
      </c>
      <c r="Z27" s="57" t="s">
        <v>143</v>
      </c>
      <c r="AA27" s="85" t="s">
        <v>79</v>
      </c>
      <c r="AB27" s="60" t="s">
        <v>250</v>
      </c>
    </row>
    <row r="28" spans="2:28" ht="32.25" customHeight="1">
      <c r="B28" s="200">
        <f xml:space="preserve"> ROW() - 4</f>
        <v>24</v>
      </c>
      <c r="C28" s="136" t="s">
        <v>150</v>
      </c>
      <c r="D28" s="175"/>
      <c r="E28" s="175"/>
      <c r="F28" s="175"/>
      <c r="G28" s="175"/>
      <c r="H28" s="175"/>
      <c r="I28" s="175"/>
      <c r="J28" s="209"/>
      <c r="K28" s="218"/>
      <c r="L28" s="267">
        <f>LEN(鍵盤設計表[[#This Row],[方音符號]])</f>
        <v>0</v>
      </c>
      <c r="M28" s="218"/>
      <c r="N28" s="197">
        <f xml:space="preserve"> ROW() - 4</f>
        <v>24</v>
      </c>
      <c r="O28" s="128">
        <v>6</v>
      </c>
      <c r="P28" s="173" t="str">
        <v>ˊ</v>
      </c>
      <c r="Q28" s="128">
        <v>2</v>
      </c>
      <c r="R28" s="173">
        <v>5</v>
      </c>
      <c r="S28" s="173">
        <v>5</v>
      </c>
      <c r="T28" s="173">
        <v>2</v>
      </c>
      <c r="U28" s="173" t="str">
        <v>調</v>
      </c>
      <c r="V28" s="208">
        <v>0</v>
      </c>
      <c r="W28" s="219"/>
      <c r="X28" s="49">
        <v>24</v>
      </c>
      <c r="Y28" s="55" t="s">
        <v>134</v>
      </c>
      <c r="Z28" s="57" t="s">
        <v>113</v>
      </c>
      <c r="AA28" s="85" t="s">
        <v>36</v>
      </c>
      <c r="AB28" s="60" t="s">
        <v>113</v>
      </c>
    </row>
    <row r="29" spans="2:28" ht="32.25" customHeight="1">
      <c r="B29" s="197">
        <f xml:space="preserve"> ROW() - 4</f>
        <v>25</v>
      </c>
      <c r="C29" s="128">
        <v>4</v>
      </c>
      <c r="D29" s="173" t="s">
        <v>73</v>
      </c>
      <c r="E29" s="307">
        <v>3</v>
      </c>
      <c r="F29" s="173">
        <v>2</v>
      </c>
      <c r="G29" s="173">
        <v>2</v>
      </c>
      <c r="H29" s="307">
        <v>3</v>
      </c>
      <c r="I29" s="173" t="s">
        <v>546</v>
      </c>
      <c r="J29" s="208"/>
      <c r="K29" s="218"/>
      <c r="L29" s="267">
        <f>LEN(鍵盤設計表[[#This Row],[方音符號]])</f>
        <v>1</v>
      </c>
      <c r="M29" s="218"/>
      <c r="N29" s="199">
        <f xml:space="preserve"> ROW() - 4</f>
        <v>25</v>
      </c>
      <c r="O29" s="195" t="str">
        <v>y</v>
      </c>
      <c r="P29" s="194" t="str">
        <v>ㄗ</v>
      </c>
      <c r="Q29" s="195" t="str">
        <v>z</v>
      </c>
      <c r="R29" s="194" t="str">
        <v>z</v>
      </c>
      <c r="S29" s="194" t="str">
        <v>z</v>
      </c>
      <c r="T29" s="194" t="str">
        <v>z</v>
      </c>
      <c r="U29" s="194" t="str">
        <v>聲</v>
      </c>
      <c r="V29" s="210">
        <v>0</v>
      </c>
      <c r="W29" s="219"/>
      <c r="X29" s="49">
        <v>25</v>
      </c>
      <c r="Y29" s="55" t="s">
        <v>130</v>
      </c>
      <c r="Z29" s="57" t="s">
        <v>135</v>
      </c>
      <c r="AA29" s="85" t="s">
        <v>80</v>
      </c>
      <c r="AB29" s="60" t="s">
        <v>254</v>
      </c>
    </row>
    <row r="30" spans="2:28" ht="32.25" customHeight="1">
      <c r="B30" s="199">
        <f xml:space="preserve"> ROW() - 4</f>
        <v>26</v>
      </c>
      <c r="C30" s="195" t="s">
        <v>213</v>
      </c>
      <c r="D30" s="194" t="str" cm="1">
        <f t="array" ref="D30" xml:space="preserve"> IFERROR( INDEX(AA35:$AA$54, MATCH(TRUE, EXACT($C30, $Y$5:$Y$54), 0)), "")</f>
        <v/>
      </c>
      <c r="E30" s="194" t="s">
        <v>540</v>
      </c>
      <c r="F30" s="194" t="s">
        <v>540</v>
      </c>
      <c r="G30" s="194" t="s">
        <v>540</v>
      </c>
      <c r="H30" s="194" t="s">
        <v>540</v>
      </c>
      <c r="I30" s="194"/>
      <c r="J30" s="210"/>
      <c r="K30" s="218"/>
      <c r="L30" s="267">
        <f>LEN(鍵盤設計表[[#This Row],[方音符號]])</f>
        <v>0</v>
      </c>
      <c r="M30" s="218"/>
      <c r="N30" s="199">
        <f xml:space="preserve"> ROW() - 4</f>
        <v>26</v>
      </c>
      <c r="O30" s="195" t="str">
        <v>Y</v>
      </c>
      <c r="P30" s="194" t="str">
        <v>ㆡ</v>
      </c>
      <c r="Q30" s="195" t="str">
        <v>Z</v>
      </c>
      <c r="R30" s="194" t="str">
        <v>j</v>
      </c>
      <c r="S30" s="194" t="str">
        <v>zz</v>
      </c>
      <c r="T30" s="194" t="str">
        <v>zz</v>
      </c>
      <c r="U30" s="194" t="str">
        <v>聲</v>
      </c>
      <c r="V30" s="210">
        <v>0</v>
      </c>
      <c r="W30" s="219"/>
      <c r="X30" s="49">
        <v>26</v>
      </c>
      <c r="Y30" s="55" t="s">
        <v>304</v>
      </c>
      <c r="Z30" s="57" t="s">
        <v>174</v>
      </c>
      <c r="AA30" s="85" t="s">
        <v>38</v>
      </c>
      <c r="AB30" s="60" t="s">
        <v>174</v>
      </c>
    </row>
    <row r="31" spans="2:28" ht="32.25" customHeight="1">
      <c r="B31" s="199">
        <f xml:space="preserve"> ROW() - 4</f>
        <v>27</v>
      </c>
      <c r="C31" s="195" t="s">
        <v>215</v>
      </c>
      <c r="D31" s="194" t="s">
        <v>61</v>
      </c>
      <c r="E31" s="194" t="s">
        <v>134</v>
      </c>
      <c r="F31" s="194" t="s">
        <v>532</v>
      </c>
      <c r="G31" s="194" t="s">
        <v>134</v>
      </c>
      <c r="H31" s="194" t="s">
        <v>134</v>
      </c>
      <c r="I31" s="194" t="s">
        <v>393</v>
      </c>
      <c r="J31" s="210"/>
      <c r="K31" s="218"/>
      <c r="L31" s="267">
        <f>LEN(鍵盤設計表[[#This Row],[方音符號]])</f>
        <v>1</v>
      </c>
      <c r="M31" s="218"/>
      <c r="N31" s="199">
        <f xml:space="preserve"> ROW() - 4</f>
        <v>27</v>
      </c>
      <c r="O31" s="195" t="str">
        <v>h</v>
      </c>
      <c r="P31" s="194" t="str">
        <v>ㄘ</v>
      </c>
      <c r="Q31" s="195" t="str">
        <v>c</v>
      </c>
      <c r="R31" s="194" t="str">
        <v>c</v>
      </c>
      <c r="S31" s="194" t="str">
        <v>c</v>
      </c>
      <c r="T31" s="194" t="str">
        <v>c</v>
      </c>
      <c r="U31" s="194" t="str">
        <v>聲</v>
      </c>
      <c r="V31" s="210">
        <v>0</v>
      </c>
      <c r="W31" s="219"/>
      <c r="X31" s="49">
        <v>27</v>
      </c>
      <c r="Y31" s="55" t="s">
        <v>147</v>
      </c>
      <c r="Z31" s="57" t="s">
        <v>314</v>
      </c>
      <c r="AA31" s="85" t="s">
        <v>81</v>
      </c>
      <c r="AB31" s="60" t="s">
        <v>144</v>
      </c>
    </row>
    <row r="32" spans="2:28" ht="32.25" customHeight="1">
      <c r="B32" s="199">
        <f xml:space="preserve"> ROW() - 4</f>
        <v>28</v>
      </c>
      <c r="C32" s="195" t="s">
        <v>216</v>
      </c>
      <c r="D32" s="194" t="s">
        <v>78</v>
      </c>
      <c r="E32" s="194" t="s">
        <v>130</v>
      </c>
      <c r="F32" s="194" t="s">
        <v>222</v>
      </c>
      <c r="G32" s="194" t="s">
        <v>560</v>
      </c>
      <c r="H32" s="194" t="s">
        <v>560</v>
      </c>
      <c r="I32" s="194" t="s">
        <v>393</v>
      </c>
      <c r="J32" s="210"/>
      <c r="K32" s="218"/>
      <c r="L32" s="267">
        <f>LEN(鍵盤設計表[[#This Row],[方音符號]])</f>
        <v>1</v>
      </c>
      <c r="M32" s="218"/>
      <c r="N32" s="198">
        <f xml:space="preserve"> ROW() - 4</f>
        <v>28</v>
      </c>
      <c r="O32" s="132" t="str">
        <v>n</v>
      </c>
      <c r="P32" s="175" t="str">
        <v>ㄙ</v>
      </c>
      <c r="Q32" s="132" t="str">
        <v>s</v>
      </c>
      <c r="R32" s="175" t="str">
        <v>s</v>
      </c>
      <c r="S32" s="175" t="str">
        <v>s</v>
      </c>
      <c r="T32" s="194" t="str">
        <v>s</v>
      </c>
      <c r="U32" s="194" t="str">
        <v>聲</v>
      </c>
      <c r="V32" s="210">
        <v>0</v>
      </c>
      <c r="W32" s="219"/>
      <c r="X32" s="49">
        <v>28</v>
      </c>
      <c r="Y32" s="55" t="s">
        <v>146</v>
      </c>
      <c r="Z32" s="57" t="s">
        <v>139</v>
      </c>
      <c r="AA32" s="85" t="s">
        <v>44</v>
      </c>
      <c r="AB32" s="60" t="s">
        <v>171</v>
      </c>
    </row>
    <row r="33" spans="2:28" ht="32.25" customHeight="1">
      <c r="B33" s="199">
        <f xml:space="preserve"> ROW() - 4</f>
        <v>29</v>
      </c>
      <c r="C33" s="195" t="s">
        <v>217</v>
      </c>
      <c r="D33" s="194" t="s">
        <v>63</v>
      </c>
      <c r="E33" s="194" t="s">
        <v>227</v>
      </c>
      <c r="F33" s="194" t="s">
        <v>211</v>
      </c>
      <c r="G33" s="194" t="s">
        <v>229</v>
      </c>
      <c r="H33" s="194" t="s">
        <v>229</v>
      </c>
      <c r="I33" s="194" t="s">
        <v>393</v>
      </c>
      <c r="J33" s="210"/>
      <c r="K33" s="218"/>
      <c r="L33" s="267">
        <f>LEN(鍵盤設計表[[#This Row],[方音符號]])</f>
        <v>1</v>
      </c>
      <c r="M33" s="218"/>
      <c r="N33" s="197">
        <f xml:space="preserve"> ROW() - 4</f>
        <v>29</v>
      </c>
      <c r="O33" s="132" t="str">
        <v>N</v>
      </c>
      <c r="P33" s="175" t="str">
        <v>ㄫ</v>
      </c>
      <c r="Q33" s="132" t="str">
        <v>ŋ</v>
      </c>
      <c r="R33" s="175" t="str">
        <v>ng</v>
      </c>
      <c r="S33" s="175" t="str">
        <v>ng</v>
      </c>
      <c r="T33" s="194" t="str">
        <v>ggn</v>
      </c>
      <c r="U33" s="194" t="str">
        <v>聲</v>
      </c>
      <c r="V33" s="210" t="str">
        <v>ng鼻音韻尾編碼：【W】</v>
      </c>
      <c r="W33" s="219"/>
      <c r="X33" s="49">
        <v>29</v>
      </c>
      <c r="Y33" s="55" t="s">
        <v>143</v>
      </c>
      <c r="Z33" s="57" t="s">
        <v>282</v>
      </c>
      <c r="AA33" s="85" t="s">
        <v>84</v>
      </c>
      <c r="AB33" s="60" t="s">
        <v>377</v>
      </c>
    </row>
    <row r="34" spans="2:28" ht="32.25" customHeight="1">
      <c r="B34" s="199">
        <f xml:space="preserve"> ROW() - 4</f>
        <v>30</v>
      </c>
      <c r="C34" s="195" t="s">
        <v>218</v>
      </c>
      <c r="D34" s="194" t="str" cm="1">
        <f t="array" ref="D34" xml:space="preserve"> IFERROR( INDEX(AA39:$AA$54, MATCH(TRUE, EXACT($C34, $Y$5:$Y$54), 0)), "")</f>
        <v/>
      </c>
      <c r="E34" s="194" t="s">
        <v>540</v>
      </c>
      <c r="F34" s="194" t="s">
        <v>540</v>
      </c>
      <c r="G34" s="194" t="s">
        <v>540</v>
      </c>
      <c r="H34" s="194" t="s">
        <v>540</v>
      </c>
      <c r="I34" s="194"/>
      <c r="J34" s="210"/>
      <c r="K34" s="218"/>
      <c r="L34" s="267">
        <f>LEN(鍵盤設計表[[#This Row],[方音符號]])</f>
        <v>0</v>
      </c>
      <c r="M34" s="218"/>
      <c r="N34" s="199">
        <f xml:space="preserve"> ROW() - 4</f>
        <v>30</v>
      </c>
      <c r="O34" s="247">
        <v>7</v>
      </c>
      <c r="P34" s="248" t="str">
        <v>˙</v>
      </c>
      <c r="Q34" s="247">
        <v>0</v>
      </c>
      <c r="R34" s="248">
        <v>0</v>
      </c>
      <c r="S34" s="248">
        <v>0</v>
      </c>
      <c r="T34" s="248">
        <v>0</v>
      </c>
      <c r="U34" s="248" t="str">
        <v>調</v>
      </c>
      <c r="V34" s="249" t="str">
        <v>入聲韻母輸入鍵</v>
      </c>
      <c r="W34" s="219"/>
      <c r="X34" s="49">
        <v>30</v>
      </c>
      <c r="Y34" s="55" t="s">
        <v>21</v>
      </c>
      <c r="Z34" s="57" t="s">
        <v>42</v>
      </c>
      <c r="AA34" s="85" t="s">
        <v>233</v>
      </c>
      <c r="AB34" s="60" t="s">
        <v>378</v>
      </c>
    </row>
    <row r="35" spans="2:28" ht="32.25" customHeight="1">
      <c r="B35" s="199">
        <f xml:space="preserve"> ROW() - 4</f>
        <v>31</v>
      </c>
      <c r="C35" s="195" t="s">
        <v>220</v>
      </c>
      <c r="D35" s="194" t="s">
        <v>149</v>
      </c>
      <c r="E35" s="194" t="s">
        <v>228</v>
      </c>
      <c r="F35" s="194" t="s">
        <v>214</v>
      </c>
      <c r="G35" s="194" t="s">
        <v>561</v>
      </c>
      <c r="H35" s="194" t="s">
        <v>561</v>
      </c>
      <c r="I35" s="194" t="s">
        <v>393</v>
      </c>
      <c r="J35" s="210"/>
      <c r="K35" s="218"/>
      <c r="L35" s="267">
        <f>LEN(鍵盤設計表[[#This Row],[方音符號]])</f>
        <v>1</v>
      </c>
      <c r="M35" s="218"/>
      <c r="N35" s="199">
        <f xml:space="preserve"> ROW() - 4</f>
        <v>31</v>
      </c>
      <c r="O35" s="195" t="str">
        <v>u</v>
      </c>
      <c r="P35" s="194" t="str">
        <v>ㄧ</v>
      </c>
      <c r="Q35" s="195" t="str">
        <v>i</v>
      </c>
      <c r="R35" s="194" t="str">
        <v>i</v>
      </c>
      <c r="S35" s="194" t="str">
        <v>i</v>
      </c>
      <c r="T35" s="194" t="str">
        <v>i</v>
      </c>
      <c r="U35" s="194" t="str">
        <v>韻</v>
      </c>
      <c r="V35" s="210">
        <v>0</v>
      </c>
      <c r="W35" s="219"/>
      <c r="X35" s="49">
        <v>31</v>
      </c>
      <c r="Y35" s="55" t="s">
        <v>123</v>
      </c>
      <c r="Z35" s="57" t="s">
        <v>162</v>
      </c>
      <c r="AA35" s="85" t="s">
        <v>40</v>
      </c>
      <c r="AB35" s="60" t="s">
        <v>162</v>
      </c>
    </row>
    <row r="36" spans="2:28" ht="32.25" customHeight="1">
      <c r="B36" s="199">
        <f xml:space="preserve"> ROW() - 4</f>
        <v>32</v>
      </c>
      <c r="C36" s="195" t="s">
        <v>221</v>
      </c>
      <c r="D36" s="194" t="str" cm="1">
        <f t="array" ref="D36" xml:space="preserve"> IFERROR( INDEX(AA41:$AA$54, MATCH(TRUE, EXACT($C36, $Y$5:$Y$54), 0)), "")</f>
        <v/>
      </c>
      <c r="E36" s="194" t="s">
        <v>540</v>
      </c>
      <c r="F36" s="194" t="s">
        <v>540</v>
      </c>
      <c r="G36" s="194" t="s">
        <v>540</v>
      </c>
      <c r="H36" s="194" t="s">
        <v>540</v>
      </c>
      <c r="I36" s="194"/>
      <c r="J36" s="210"/>
      <c r="K36" s="218"/>
      <c r="L36" s="267">
        <f>LEN(鍵盤設計表[[#This Row],[方音符號]])</f>
        <v>0</v>
      </c>
      <c r="M36" s="218"/>
      <c r="N36" s="199">
        <f xml:space="preserve"> ROW() - 4</f>
        <v>32</v>
      </c>
      <c r="O36" s="195" t="str">
        <v>U</v>
      </c>
      <c r="P36" s="194" t="str">
        <v>ㆪ</v>
      </c>
      <c r="Q36" s="195" t="str">
        <v>D</v>
      </c>
      <c r="R36" s="194" t="str">
        <v>inn</v>
      </c>
      <c r="S36" s="194" t="str">
        <v>inn</v>
      </c>
      <c r="T36" s="194" t="str">
        <v>ni</v>
      </c>
      <c r="U36" s="194" t="str">
        <v>韻</v>
      </c>
      <c r="V36" s="210">
        <v>0</v>
      </c>
      <c r="W36" s="219"/>
      <c r="X36" s="49">
        <v>32</v>
      </c>
      <c r="Y36" s="55" t="s">
        <v>122</v>
      </c>
      <c r="Z36" s="57" t="s">
        <v>159</v>
      </c>
      <c r="AA36" s="85" t="s">
        <v>83</v>
      </c>
      <c r="AB36" s="60" t="s">
        <v>141</v>
      </c>
    </row>
    <row r="37" spans="2:28" ht="32.25" customHeight="1">
      <c r="B37" s="197">
        <f xml:space="preserve"> ROW() - 4</f>
        <v>33</v>
      </c>
      <c r="C37" s="128">
        <v>5</v>
      </c>
      <c r="D37" s="173" t="s">
        <v>76</v>
      </c>
      <c r="E37" s="307">
        <v>6</v>
      </c>
      <c r="F37" s="173">
        <v>7</v>
      </c>
      <c r="G37" s="173">
        <v>7</v>
      </c>
      <c r="H37" s="307">
        <v>6</v>
      </c>
      <c r="I37" s="173" t="s">
        <v>546</v>
      </c>
      <c r="J37" s="208"/>
      <c r="K37" s="218"/>
      <c r="L37" s="267">
        <f>LEN(鍵盤設計表[[#This Row],[方音符號]])</f>
        <v>1</v>
      </c>
      <c r="M37" s="218"/>
      <c r="N37" s="199">
        <f xml:space="preserve"> ROW() - 4</f>
        <v>33</v>
      </c>
      <c r="O37" s="195" t="str">
        <v>j</v>
      </c>
      <c r="P37" s="194" t="str">
        <v>ㄨ</v>
      </c>
      <c r="Q37" s="195" t="str">
        <v>u</v>
      </c>
      <c r="R37" s="194" t="str">
        <v>u</v>
      </c>
      <c r="S37" s="194" t="str">
        <v>u</v>
      </c>
      <c r="T37" s="194" t="str">
        <v>u</v>
      </c>
      <c r="U37" s="194" t="str">
        <v>韻</v>
      </c>
      <c r="V37" s="210">
        <v>0</v>
      </c>
      <c r="W37" s="219"/>
      <c r="X37" s="49">
        <v>33</v>
      </c>
      <c r="Y37" s="55" t="s">
        <v>137</v>
      </c>
      <c r="Z37" s="57" t="s">
        <v>164</v>
      </c>
      <c r="AA37" s="85" t="s">
        <v>128</v>
      </c>
      <c r="AB37" s="60" t="s">
        <v>163</v>
      </c>
    </row>
    <row r="38" spans="2:28" ht="32.25" customHeight="1">
      <c r="B38" s="198">
        <f xml:space="preserve"> ROW() - 4</f>
        <v>34</v>
      </c>
      <c r="C38" s="132" t="s">
        <v>225</v>
      </c>
      <c r="D38" s="175" t="str" cm="1">
        <f t="array" ref="D38" xml:space="preserve"> IFERROR( INDEX(AA43:$AA$54, MATCH(TRUE, EXACT($C38, $Y$5:$Y$54), 0)), "")</f>
        <v/>
      </c>
      <c r="E38" s="175" t="s">
        <v>540</v>
      </c>
      <c r="F38" s="175" t="s">
        <v>540</v>
      </c>
      <c r="G38" s="175" t="s">
        <v>540</v>
      </c>
      <c r="H38" s="175" t="s">
        <v>540</v>
      </c>
      <c r="I38" s="175"/>
      <c r="J38" s="209"/>
      <c r="K38" s="218"/>
      <c r="L38" s="267">
        <f>LEN(鍵盤設計表[[#This Row],[方音符號]])</f>
        <v>0</v>
      </c>
      <c r="M38" s="218"/>
      <c r="N38" s="198">
        <f xml:space="preserve"> ROW() - 4</f>
        <v>34</v>
      </c>
      <c r="O38" s="195" t="str">
        <v>J</v>
      </c>
      <c r="P38" s="194" t="str">
        <v>ㆫ</v>
      </c>
      <c r="Q38" s="195" t="str">
        <v>X</v>
      </c>
      <c r="R38" s="194" t="str">
        <v>unn</v>
      </c>
      <c r="S38" s="194" t="str">
        <v>unn</v>
      </c>
      <c r="T38" s="194" t="str">
        <v>nu</v>
      </c>
      <c r="U38" s="194" t="str">
        <v>韻</v>
      </c>
      <c r="V38" s="210">
        <v>0</v>
      </c>
      <c r="W38" s="219"/>
      <c r="X38" s="49">
        <v>34</v>
      </c>
      <c r="Y38" s="55" t="s">
        <v>127</v>
      </c>
      <c r="Z38" s="57" t="s">
        <v>291</v>
      </c>
      <c r="AA38" s="85" t="s">
        <v>82</v>
      </c>
      <c r="AB38" s="60" t="s">
        <v>140</v>
      </c>
    </row>
    <row r="39" spans="2:28" ht="32.25" customHeight="1">
      <c r="B39" s="199">
        <f xml:space="preserve"> ROW() - 4</f>
        <v>35</v>
      </c>
      <c r="C39" s="195" t="s">
        <v>168</v>
      </c>
      <c r="D39" s="194" t="s">
        <v>90</v>
      </c>
      <c r="E39" s="194" t="s">
        <v>166</v>
      </c>
      <c r="F39" s="194" t="s">
        <v>15</v>
      </c>
      <c r="G39" s="194" t="s">
        <v>15</v>
      </c>
      <c r="H39" s="194" t="s">
        <v>15</v>
      </c>
      <c r="I39" s="194" t="s">
        <v>549</v>
      </c>
      <c r="J39" s="210" t="s">
        <v>554</v>
      </c>
      <c r="K39" s="218"/>
      <c r="L39" s="267">
        <f>LEN(鍵盤設計表[[#This Row],[方音符號]])</f>
        <v>1</v>
      </c>
      <c r="M39" s="218"/>
      <c r="N39" s="198">
        <f xml:space="preserve"> ROW() - 4</f>
        <v>35</v>
      </c>
      <c r="O39" s="132" t="str">
        <v>m</v>
      </c>
      <c r="P39" s="189" t="str">
        <v>ㆬ</v>
      </c>
      <c r="Q39" s="250" t="str">
        <v>M</v>
      </c>
      <c r="R39" s="189" t="str">
        <v>m</v>
      </c>
      <c r="S39" s="189" t="str">
        <v>m</v>
      </c>
      <c r="T39" s="245" t="str">
        <v>m</v>
      </c>
      <c r="U39" s="245" t="str">
        <v>韻</v>
      </c>
      <c r="V39" s="246">
        <v>0</v>
      </c>
      <c r="W39" s="219"/>
      <c r="X39" s="49">
        <v>35</v>
      </c>
      <c r="Y39" s="55" t="s">
        <v>59</v>
      </c>
      <c r="Z39" s="57" t="s">
        <v>303</v>
      </c>
      <c r="AA39" s="85" t="s">
        <v>48</v>
      </c>
      <c r="AB39" s="60" t="s">
        <v>160</v>
      </c>
    </row>
    <row r="40" spans="2:28" ht="32.25" customHeight="1">
      <c r="B40" s="199">
        <f xml:space="preserve"> ROW() - 4</f>
        <v>36</v>
      </c>
      <c r="C40" s="195" t="s">
        <v>166</v>
      </c>
      <c r="D40" s="194" t="str" cm="1">
        <f t="array" ref="D40" xml:space="preserve"> IFERROR( INDEX(AA45:$AA$54, MATCH(TRUE, EXACT($C40, $Y$5:$Y$54), 0)), "")</f>
        <v/>
      </c>
      <c r="E40" s="194" t="s">
        <v>540</v>
      </c>
      <c r="F40" s="194" t="s">
        <v>540</v>
      </c>
      <c r="G40" s="194" t="s">
        <v>540</v>
      </c>
      <c r="H40" s="194" t="s">
        <v>540</v>
      </c>
      <c r="I40" s="194"/>
      <c r="J40" s="210"/>
      <c r="K40" s="218"/>
      <c r="L40" s="267">
        <f>LEN(鍵盤設計表[[#This Row],[方音符號]])</f>
        <v>0</v>
      </c>
      <c r="M40" s="218"/>
      <c r="N40" s="197">
        <f xml:space="preserve"> ROW() - 4</f>
        <v>36</v>
      </c>
      <c r="O40" s="250" t="str">
        <v>M</v>
      </c>
      <c r="P40" s="175" t="str">
        <v>ㆰ</v>
      </c>
      <c r="Q40" s="132" t="str">
        <v>Y</v>
      </c>
      <c r="R40" s="175" t="str">
        <v>am</v>
      </c>
      <c r="S40" s="175" t="str">
        <v>am</v>
      </c>
      <c r="T40" s="175" t="str">
        <v>am</v>
      </c>
      <c r="U40" s="175" t="str">
        <v>韻</v>
      </c>
      <c r="V40" s="209" t="str">
        <v>【ㆱ】共用【m】按鍵；【編碼】=【v】</v>
      </c>
      <c r="W40" s="219"/>
      <c r="X40" s="49">
        <v>36</v>
      </c>
      <c r="Y40" s="55" t="s">
        <v>125</v>
      </c>
      <c r="Z40" s="57" t="s">
        <v>223</v>
      </c>
      <c r="AA40" s="85" t="s">
        <v>85</v>
      </c>
      <c r="AB40" s="60" t="s">
        <v>138</v>
      </c>
    </row>
    <row r="41" spans="2:28" ht="32.25" customHeight="1">
      <c r="B41" s="199">
        <f xml:space="preserve"> ROW() - 4</f>
        <v>37</v>
      </c>
      <c r="C41" s="195" t="s">
        <v>24</v>
      </c>
      <c r="D41" s="194" t="s">
        <v>91</v>
      </c>
      <c r="E41" s="194" t="s">
        <v>157</v>
      </c>
      <c r="F41" s="194" t="s">
        <v>21</v>
      </c>
      <c r="G41" s="194" t="s">
        <v>21</v>
      </c>
      <c r="H41" s="194" t="s">
        <v>21</v>
      </c>
      <c r="I41" s="194" t="s">
        <v>549</v>
      </c>
      <c r="J41" s="210" t="s">
        <v>555</v>
      </c>
      <c r="K41" s="218"/>
      <c r="L41" s="267">
        <f>LEN(鍵盤設計表[[#This Row],[方音符號]])</f>
        <v>1</v>
      </c>
      <c r="M41" s="218"/>
      <c r="N41" s="198">
        <f xml:space="preserve"> ROW() - 4</f>
        <v>37</v>
      </c>
      <c r="O41" s="128" t="str">
        <v>8</v>
      </c>
      <c r="P41" s="173" t="str">
        <v>ㄚ</v>
      </c>
      <c r="Q41" s="128" t="str">
        <v>a</v>
      </c>
      <c r="R41" s="173" t="str">
        <v>a</v>
      </c>
      <c r="S41" s="173" t="str">
        <v>a</v>
      </c>
      <c r="T41" s="173" t="str">
        <v>a</v>
      </c>
      <c r="U41" s="173" t="str">
        <v>韻</v>
      </c>
      <c r="V41" s="208">
        <v>0</v>
      </c>
      <c r="W41" s="219"/>
      <c r="X41" s="49">
        <v>37</v>
      </c>
      <c r="Y41" s="55" t="s">
        <v>121</v>
      </c>
      <c r="Z41" s="57" t="s">
        <v>316</v>
      </c>
      <c r="AA41" s="85" t="s">
        <v>67</v>
      </c>
      <c r="AB41" s="60" t="s">
        <v>105</v>
      </c>
    </row>
    <row r="42" spans="2:28" ht="32.25" customHeight="1">
      <c r="B42" s="199">
        <f xml:space="preserve"> ROW() - 4</f>
        <v>38</v>
      </c>
      <c r="C42" s="195" t="s">
        <v>112</v>
      </c>
      <c r="D42" s="194" t="str" cm="1">
        <f t="array" ref="D42" xml:space="preserve"> IFERROR( INDEX(AA47:$AA$54, MATCH(TRUE, EXACT($C42, $Y$5:$Y$54), 0)), "")</f>
        <v/>
      </c>
      <c r="E42" s="194" t="s">
        <v>540</v>
      </c>
      <c r="F42" s="194" t="s">
        <v>540</v>
      </c>
      <c r="G42" s="194" t="s">
        <v>540</v>
      </c>
      <c r="H42" s="194" t="s">
        <v>540</v>
      </c>
      <c r="I42" s="194"/>
      <c r="J42" s="210"/>
      <c r="K42" s="218"/>
      <c r="L42" s="267">
        <f>LEN(鍵盤設計表[[#This Row],[方音符號]])</f>
        <v>0</v>
      </c>
      <c r="M42" s="218"/>
      <c r="N42" s="199">
        <f xml:space="preserve"> ROW() - 4</f>
        <v>38</v>
      </c>
      <c r="O42" s="132" t="str">
        <v>*</v>
      </c>
      <c r="P42" s="175" t="str">
        <v>ㆩ</v>
      </c>
      <c r="Q42" s="132" t="str">
        <v>R</v>
      </c>
      <c r="R42" s="175" t="str">
        <v>ann</v>
      </c>
      <c r="S42" s="175" t="str">
        <v>ann</v>
      </c>
      <c r="T42" s="175" t="str">
        <v>na</v>
      </c>
      <c r="U42" s="175" t="str">
        <v>韻</v>
      </c>
      <c r="V42" s="209">
        <v>0</v>
      </c>
      <c r="W42" s="219"/>
      <c r="X42" s="49">
        <v>38</v>
      </c>
      <c r="Y42" s="55" t="s">
        <v>119</v>
      </c>
      <c r="Z42" s="57" t="s">
        <v>293</v>
      </c>
      <c r="AA42" s="85" t="s">
        <v>52</v>
      </c>
      <c r="AB42" s="60" t="s">
        <v>530</v>
      </c>
    </row>
    <row r="43" spans="2:28" ht="32.25" customHeight="1">
      <c r="B43" s="198">
        <f xml:space="preserve"> ROW() - 4</f>
        <v>39</v>
      </c>
      <c r="C43" s="132" t="s">
        <v>109</v>
      </c>
      <c r="D43" s="175" t="s">
        <v>89</v>
      </c>
      <c r="E43" s="175" t="s">
        <v>177</v>
      </c>
      <c r="F43" s="175" t="s">
        <v>119</v>
      </c>
      <c r="G43" s="175" t="s">
        <v>119</v>
      </c>
      <c r="H43" s="175" t="s">
        <v>119</v>
      </c>
      <c r="I43" s="194" t="s">
        <v>549</v>
      </c>
      <c r="J43" s="210" t="s">
        <v>556</v>
      </c>
      <c r="K43" s="218"/>
      <c r="L43" s="267">
        <f>LEN(鍵盤設計表[[#This Row],[方音符號]])</f>
        <v>1</v>
      </c>
      <c r="M43" s="218"/>
      <c r="N43" s="199">
        <f xml:space="preserve"> ROW() - 4</f>
        <v>39</v>
      </c>
      <c r="O43" s="195" t="str">
        <v>i</v>
      </c>
      <c r="P43" s="194" t="str">
        <v>ㆦ</v>
      </c>
      <c r="Q43" s="195" t="str">
        <v>O</v>
      </c>
      <c r="R43" s="194" t="str">
        <v>oo</v>
      </c>
      <c r="S43" s="194" t="str">
        <v>oo</v>
      </c>
      <c r="T43" s="194" t="str">
        <v>oo</v>
      </c>
      <c r="U43" s="194" t="str">
        <v>韻</v>
      </c>
      <c r="V43" s="210">
        <v>0</v>
      </c>
      <c r="W43" s="219"/>
      <c r="X43" s="49">
        <v>39</v>
      </c>
      <c r="Y43" s="55" t="s">
        <v>118</v>
      </c>
      <c r="Z43" s="57" t="s">
        <v>94</v>
      </c>
      <c r="AA43" s="85" t="s">
        <v>65</v>
      </c>
      <c r="AB43" s="60" t="s">
        <v>101</v>
      </c>
    </row>
    <row r="44" spans="2:28" ht="32.25" customHeight="1">
      <c r="B44" s="198">
        <f xml:space="preserve"> ROW() - 4</f>
        <v>40</v>
      </c>
      <c r="C44" s="132" t="s">
        <v>96</v>
      </c>
      <c r="D44" s="175" t="str" cm="1">
        <f t="array" ref="D44" xml:space="preserve"> IFERROR( INDEX(AA16:$AA$54, MATCH(TRUE, EXACT($C44, $Y$5:$Y$54), 0)), "")</f>
        <v/>
      </c>
      <c r="E44" s="175" t="s">
        <v>540</v>
      </c>
      <c r="F44" s="175" t="s">
        <v>540</v>
      </c>
      <c r="G44" s="175" t="s">
        <v>540</v>
      </c>
      <c r="H44" s="175" t="s">
        <v>540</v>
      </c>
      <c r="I44" s="194"/>
      <c r="J44" s="210"/>
      <c r="K44" s="218"/>
      <c r="L44" s="267">
        <f>LEN(鍵盤設計表[[#This Row],[方音符號]])</f>
        <v>0</v>
      </c>
      <c r="M44" s="218"/>
      <c r="N44" s="199">
        <f xml:space="preserve"> ROW() - 4</f>
        <v>40</v>
      </c>
      <c r="O44" s="195" t="str">
        <v>I</v>
      </c>
      <c r="P44" s="194" t="str">
        <v>ㆧ</v>
      </c>
      <c r="Q44" s="195" t="str">
        <v>Q</v>
      </c>
      <c r="R44" s="194" t="str">
        <v>onn</v>
      </c>
      <c r="S44" s="194" t="str">
        <v>oonn</v>
      </c>
      <c r="T44" s="194" t="str">
        <v>no</v>
      </c>
      <c r="U44" s="194" t="str">
        <v>韻</v>
      </c>
      <c r="V44" s="210">
        <v>0</v>
      </c>
      <c r="W44" s="219"/>
      <c r="X44" s="49">
        <v>40</v>
      </c>
      <c r="Y44" s="55" t="s">
        <v>114</v>
      </c>
      <c r="Z44" s="57" t="s">
        <v>284</v>
      </c>
      <c r="AA44" s="85" t="s">
        <v>305</v>
      </c>
      <c r="AB44" s="60" t="s">
        <v>255</v>
      </c>
    </row>
    <row r="45" spans="2:28" ht="32.25" customHeight="1">
      <c r="B45" s="197">
        <f xml:space="preserve"> ROW() - 4</f>
        <v>41</v>
      </c>
      <c r="C45" s="128">
        <v>6</v>
      </c>
      <c r="D45" s="173" t="s">
        <v>75</v>
      </c>
      <c r="E45" s="307">
        <v>2</v>
      </c>
      <c r="F45" s="173">
        <v>5</v>
      </c>
      <c r="G45" s="173">
        <v>5</v>
      </c>
      <c r="H45" s="307">
        <v>2</v>
      </c>
      <c r="I45" s="173" t="s">
        <v>392</v>
      </c>
      <c r="J45" s="208"/>
      <c r="K45" s="218"/>
      <c r="L45" s="267">
        <f>LEN(鍵盤設計表[[#This Row],[方音符號]])</f>
        <v>1</v>
      </c>
      <c r="M45" s="218"/>
      <c r="N45" s="199">
        <f xml:space="preserve"> ROW() - 4</f>
        <v>41</v>
      </c>
      <c r="O45" s="195" t="str">
        <v>k</v>
      </c>
      <c r="P45" s="194" t="str">
        <v>ㄜ</v>
      </c>
      <c r="Q45" s="195" t="str">
        <v>o</v>
      </c>
      <c r="R45" s="194" t="str">
        <v>o</v>
      </c>
      <c r="S45" s="194" t="str">
        <v>or</v>
      </c>
      <c r="T45" s="194" t="str">
        <v>o</v>
      </c>
      <c r="U45" s="194" t="str">
        <v>韻</v>
      </c>
      <c r="V45" s="210">
        <v>0</v>
      </c>
      <c r="W45" s="219"/>
      <c r="X45" s="49">
        <v>41</v>
      </c>
      <c r="Y45" s="55" t="s">
        <v>380</v>
      </c>
      <c r="Z45" s="57" t="s">
        <v>380</v>
      </c>
      <c r="AA45" s="85" t="s">
        <v>69</v>
      </c>
      <c r="AB45" s="60" t="s">
        <v>117</v>
      </c>
    </row>
    <row r="46" spans="2:28" ht="32.25" customHeight="1">
      <c r="B46" s="198">
        <f xml:space="preserve"> ROW() - 4</f>
        <v>42</v>
      </c>
      <c r="C46" s="132" t="s">
        <v>231</v>
      </c>
      <c r="D46" s="175" t="str" cm="1">
        <f t="array" ref="D46" xml:space="preserve"> IFERROR( INDEX(AA50:$AA$54, MATCH(TRUE, EXACT($C46, $Y$5:$Y$54), 0)), "")</f>
        <v/>
      </c>
      <c r="E46" s="175" t="s">
        <v>540</v>
      </c>
      <c r="F46" s="175" t="s">
        <v>540</v>
      </c>
      <c r="G46" s="175" t="s">
        <v>540</v>
      </c>
      <c r="H46" s="175" t="s">
        <v>540</v>
      </c>
      <c r="I46" s="175"/>
      <c r="J46" s="209"/>
      <c r="K46" s="218"/>
      <c r="L46" s="267">
        <f>LEN(鍵盤設計表[[#This Row],[方音符號]])</f>
        <v>0</v>
      </c>
      <c r="M46" s="218"/>
      <c r="N46" s="198">
        <f xml:space="preserve"> ROW() - 4</f>
        <v>42</v>
      </c>
      <c r="O46" s="195" t="str">
        <v>K</v>
      </c>
      <c r="P46" s="194" t="str">
        <v>ㆨ</v>
      </c>
      <c r="Q46" s="195" t="str">
        <v>w</v>
      </c>
      <c r="R46" s="194" t="str">
        <v>ir</v>
      </c>
      <c r="S46" s="194" t="str">
        <v>ir</v>
      </c>
      <c r="T46" s="194" t="str">
        <v>eu</v>
      </c>
      <c r="U46" s="194" t="str">
        <v>韻</v>
      </c>
      <c r="V46" s="210">
        <v>0</v>
      </c>
      <c r="W46" s="219"/>
      <c r="X46" s="49">
        <v>42</v>
      </c>
      <c r="Y46" s="55" t="s">
        <v>317</v>
      </c>
      <c r="Z46" s="57" t="s">
        <v>317</v>
      </c>
      <c r="AA46" s="85" t="s">
        <v>86</v>
      </c>
      <c r="AB46" s="60" t="s">
        <v>116</v>
      </c>
    </row>
    <row r="47" spans="2:28" ht="32.25" customHeight="1">
      <c r="B47" s="199">
        <f xml:space="preserve"> ROW() - 4</f>
        <v>43</v>
      </c>
      <c r="C47" s="195" t="s">
        <v>185</v>
      </c>
      <c r="D47" s="194" t="s">
        <v>25</v>
      </c>
      <c r="E47" s="194" t="s">
        <v>106</v>
      </c>
      <c r="F47" s="194" t="s">
        <v>106</v>
      </c>
      <c r="G47" s="194" t="s">
        <v>106</v>
      </c>
      <c r="H47" s="194" t="s">
        <v>106</v>
      </c>
      <c r="I47" s="194" t="s">
        <v>393</v>
      </c>
      <c r="J47" s="210"/>
      <c r="K47" s="218"/>
      <c r="L47" s="267">
        <f>LEN(鍵盤設計表[[#This Row],[方音符號]])</f>
        <v>1</v>
      </c>
      <c r="M47" s="218"/>
      <c r="N47" s="198">
        <f xml:space="preserve"> ROW() - 4</f>
        <v>43</v>
      </c>
      <c r="O47" s="132" t="str">
        <v>,</v>
      </c>
      <c r="P47" s="175" t="str">
        <v>ㆤ</v>
      </c>
      <c r="Q47" s="132" t="str">
        <v>e</v>
      </c>
      <c r="R47" s="175" t="str">
        <v>e</v>
      </c>
      <c r="S47" s="175" t="str">
        <v>e</v>
      </c>
      <c r="T47" s="194" t="str">
        <v>e</v>
      </c>
      <c r="U47" s="194" t="str">
        <v>韻</v>
      </c>
      <c r="V47" s="210">
        <v>0</v>
      </c>
      <c r="W47" s="219"/>
      <c r="X47" s="49">
        <v>43</v>
      </c>
      <c r="Y47" s="55" t="s">
        <v>381</v>
      </c>
      <c r="Z47" s="57" t="s">
        <v>226</v>
      </c>
      <c r="AA47" s="85" t="s">
        <v>71</v>
      </c>
      <c r="AB47" s="60" t="s">
        <v>100</v>
      </c>
    </row>
    <row r="48" spans="2:28" ht="32.25" customHeight="1">
      <c r="B48" s="199">
        <f xml:space="preserve"> ROW() - 4</f>
        <v>44</v>
      </c>
      <c r="C48" s="195" t="s">
        <v>187</v>
      </c>
      <c r="D48" s="194" t="s">
        <v>28</v>
      </c>
      <c r="E48" s="194" t="s">
        <v>224</v>
      </c>
      <c r="F48" s="194" t="s">
        <v>134</v>
      </c>
      <c r="G48" s="194" t="s">
        <v>376</v>
      </c>
      <c r="H48" s="194" t="s">
        <v>376</v>
      </c>
      <c r="I48" s="194" t="s">
        <v>393</v>
      </c>
      <c r="J48" s="210"/>
      <c r="K48" s="218"/>
      <c r="L48" s="267">
        <f>LEN(鍵盤設計表[[#This Row],[方音符號]])</f>
        <v>1</v>
      </c>
      <c r="M48" s="218"/>
      <c r="N48" s="197">
        <f xml:space="preserve"> ROW() - 4</f>
        <v>44</v>
      </c>
      <c r="O48" s="132" t="str">
        <v>&lt;</v>
      </c>
      <c r="P48" s="175" t="str">
        <v>ㆥ</v>
      </c>
      <c r="Q48" s="132" t="str">
        <v>E</v>
      </c>
      <c r="R48" s="175" t="str">
        <v>enn</v>
      </c>
      <c r="S48" s="175" t="str">
        <v>enn</v>
      </c>
      <c r="T48" s="194" t="str">
        <v>ne</v>
      </c>
      <c r="U48" s="194" t="str">
        <v>韻</v>
      </c>
      <c r="V48" s="210">
        <v>0</v>
      </c>
      <c r="W48" s="219"/>
      <c r="X48" s="49">
        <v>44</v>
      </c>
      <c r="Y48" s="55" t="s">
        <v>382</v>
      </c>
      <c r="Z48" s="57" t="s">
        <v>283</v>
      </c>
      <c r="AA48" s="85" t="s">
        <v>50</v>
      </c>
      <c r="AB48" s="60" t="s">
        <v>239</v>
      </c>
    </row>
    <row r="49" spans="2:28" ht="32.25" customHeight="1">
      <c r="B49" s="199">
        <f xml:space="preserve"> ROW() - 4</f>
        <v>45</v>
      </c>
      <c r="C49" s="195" t="s">
        <v>33</v>
      </c>
      <c r="D49" s="194" t="s">
        <v>27</v>
      </c>
      <c r="E49" s="194" t="s">
        <v>152</v>
      </c>
      <c r="F49" s="194" t="s">
        <v>152</v>
      </c>
      <c r="G49" s="194" t="s">
        <v>152</v>
      </c>
      <c r="H49" s="194" t="s">
        <v>152</v>
      </c>
      <c r="I49" s="194" t="s">
        <v>393</v>
      </c>
      <c r="J49" s="210"/>
      <c r="K49" s="218"/>
      <c r="L49" s="267">
        <f>LEN(鍵盤設計表[[#This Row],[方音符號]])</f>
        <v>1</v>
      </c>
      <c r="M49" s="218"/>
      <c r="N49" s="198">
        <f xml:space="preserve"> ROW() - 4</f>
        <v>45</v>
      </c>
      <c r="O49" s="128" t="str">
        <v>9</v>
      </c>
      <c r="P49" s="173" t="str">
        <v>ㄞ</v>
      </c>
      <c r="Q49" s="128" t="str">
        <v>I</v>
      </c>
      <c r="R49" s="173" t="str">
        <v>ai</v>
      </c>
      <c r="S49" s="173" t="str">
        <v>ai</v>
      </c>
      <c r="T49" s="173" t="str">
        <v>ai</v>
      </c>
      <c r="U49" s="173" t="str">
        <v>韻</v>
      </c>
      <c r="V49" s="208">
        <v>0</v>
      </c>
      <c r="W49" s="219"/>
      <c r="X49" s="49">
        <v>45</v>
      </c>
      <c r="Y49" s="55" t="s">
        <v>115</v>
      </c>
      <c r="Z49" s="57" t="s">
        <v>125</v>
      </c>
      <c r="AA49" s="85" t="s">
        <v>88</v>
      </c>
      <c r="AB49" s="60" t="s">
        <v>531</v>
      </c>
    </row>
    <row r="50" spans="2:28" ht="32.25" customHeight="1">
      <c r="B50" s="199">
        <f xml:space="preserve"> ROW() - 4</f>
        <v>46</v>
      </c>
      <c r="C50" s="195" t="s">
        <v>188</v>
      </c>
      <c r="D50" s="194" t="str" cm="1">
        <f t="array" ref="D50" xml:space="preserve"> IFERROR( INDEX(AA21:$AA$54, MATCH(TRUE, EXACT($C50, $Y$5:$Y$54), 0)), "")</f>
        <v/>
      </c>
      <c r="E50" s="194" t="s">
        <v>540</v>
      </c>
      <c r="F50" s="194" t="s">
        <v>540</v>
      </c>
      <c r="G50" s="194" t="s">
        <v>540</v>
      </c>
      <c r="H50" s="194" t="s">
        <v>540</v>
      </c>
      <c r="I50" s="194"/>
      <c r="J50" s="210"/>
      <c r="K50" s="218"/>
      <c r="L50" s="267">
        <f>LEN(鍵盤設計表[[#This Row],[方音符號]])</f>
        <v>0</v>
      </c>
      <c r="M50" s="218"/>
      <c r="N50" s="199">
        <f xml:space="preserve"> ROW() - 4</f>
        <v>46</v>
      </c>
      <c r="O50" s="132" t="str">
        <v>(</v>
      </c>
      <c r="P50" s="175" t="str">
        <v>ㆮ</v>
      </c>
      <c r="Q50" s="132" t="str">
        <v>x</v>
      </c>
      <c r="R50" s="175" t="str">
        <v>ainn</v>
      </c>
      <c r="S50" s="175" t="str">
        <v>ainn</v>
      </c>
      <c r="T50" s="175" t="str">
        <v>nai</v>
      </c>
      <c r="U50" s="175" t="str">
        <v>韻</v>
      </c>
      <c r="V50" s="209">
        <v>0</v>
      </c>
      <c r="W50" s="219"/>
      <c r="X50" s="49">
        <v>46</v>
      </c>
      <c r="Y50" s="55" t="s">
        <v>95</v>
      </c>
      <c r="Z50" s="57" t="s">
        <v>257</v>
      </c>
      <c r="AA50" s="85" t="s">
        <v>97</v>
      </c>
      <c r="AB50" s="60" t="s">
        <v>95</v>
      </c>
    </row>
    <row r="51" spans="2:28" ht="32.25" customHeight="1">
      <c r="B51" s="198">
        <f xml:space="preserve"> ROW() - 4</f>
        <v>47</v>
      </c>
      <c r="C51" s="132" t="s">
        <v>19</v>
      </c>
      <c r="D51" s="175" t="s">
        <v>30</v>
      </c>
      <c r="E51" s="175" t="s">
        <v>167</v>
      </c>
      <c r="F51" s="175" t="s">
        <v>167</v>
      </c>
      <c r="G51" s="175" t="s">
        <v>167</v>
      </c>
      <c r="H51" s="175" t="s">
        <v>167</v>
      </c>
      <c r="I51" s="194" t="s">
        <v>393</v>
      </c>
      <c r="J51" s="210"/>
      <c r="K51" s="218"/>
      <c r="L51" s="267">
        <f>LEN(鍵盤設計表[[#This Row],[方音符號]])</f>
        <v>1</v>
      </c>
      <c r="M51" s="218"/>
      <c r="N51" s="199">
        <f xml:space="preserve"> ROW() - 4</f>
        <v>47</v>
      </c>
      <c r="O51" s="216" t="str">
        <v>o</v>
      </c>
      <c r="P51" s="245" t="str">
        <v>ㆲ</v>
      </c>
      <c r="Q51" s="216" t="str">
        <v>H</v>
      </c>
      <c r="R51" s="254" t="str">
        <v>ong</v>
      </c>
      <c r="S51" s="254" t="str">
        <v>ong</v>
      </c>
      <c r="T51" s="254" t="str">
        <v>ong</v>
      </c>
      <c r="U51" s="245" t="str">
        <v>韻</v>
      </c>
      <c r="V51" s="246" t="str">
        <v>原用【H】；ang【f】；ong【F】</v>
      </c>
      <c r="W51" s="219"/>
      <c r="X51" s="49">
        <v>47</v>
      </c>
      <c r="Y51" s="55" t="s">
        <v>109</v>
      </c>
      <c r="Z51" s="57" t="s">
        <v>284</v>
      </c>
      <c r="AA51" s="85" t="s">
        <v>89</v>
      </c>
      <c r="AB51" s="60" t="s">
        <v>534</v>
      </c>
    </row>
    <row r="52" spans="2:28" ht="32.25" customHeight="1">
      <c r="B52" s="198">
        <f xml:space="preserve"> ROW() - 4</f>
        <v>48</v>
      </c>
      <c r="C52" s="132" t="s">
        <v>293</v>
      </c>
      <c r="D52" s="175" t="s">
        <v>60</v>
      </c>
      <c r="E52" s="175" t="s">
        <v>428</v>
      </c>
      <c r="F52" s="175" t="s">
        <v>93</v>
      </c>
      <c r="G52" s="175" t="s">
        <v>93</v>
      </c>
      <c r="H52" s="175" t="s">
        <v>612</v>
      </c>
      <c r="I52" s="194" t="s">
        <v>393</v>
      </c>
      <c r="J52" s="210" t="s">
        <v>582</v>
      </c>
      <c r="K52" s="218"/>
      <c r="L52" s="267">
        <f>LEN(鍵盤設計表[[#This Row],[方音符號]])</f>
        <v>1</v>
      </c>
      <c r="M52" s="218"/>
      <c r="N52" s="199">
        <f xml:space="preserve"> ROW() - 4</f>
        <v>48</v>
      </c>
      <c r="O52" s="195" t="str">
        <v>O</v>
      </c>
      <c r="P52" s="175" t="str">
        <v>ㆱ</v>
      </c>
      <c r="Q52" s="132" t="str">
        <v>W</v>
      </c>
      <c r="R52" s="175" t="str">
        <v>om</v>
      </c>
      <c r="S52" s="175" t="str">
        <v>om</v>
      </c>
      <c r="T52" s="175" t="str">
        <v>om</v>
      </c>
      <c r="U52" s="175" t="str">
        <v>韻</v>
      </c>
      <c r="V52" s="209" t="str">
        <v>【ㆱ】共用【m】按鍵；【編碼】=【v】</v>
      </c>
      <c r="W52" s="219"/>
      <c r="X52" s="49">
        <v>48</v>
      </c>
      <c r="Y52" s="55" t="s">
        <v>15</v>
      </c>
      <c r="Z52" s="57" t="s">
        <v>288</v>
      </c>
      <c r="AA52" s="85" t="s">
        <v>90</v>
      </c>
      <c r="AB52" s="60" t="s">
        <v>535</v>
      </c>
    </row>
    <row r="53" spans="2:28" ht="32.25" customHeight="1">
      <c r="B53" s="197">
        <f xml:space="preserve"> ROW() - 4</f>
        <v>49</v>
      </c>
      <c r="C53" s="247">
        <v>7</v>
      </c>
      <c r="D53" s="248" t="s">
        <v>77</v>
      </c>
      <c r="E53" s="248">
        <v>0</v>
      </c>
      <c r="F53" s="248">
        <v>0</v>
      </c>
      <c r="G53" s="248">
        <v>0</v>
      </c>
      <c r="H53" s="248">
        <v>0</v>
      </c>
      <c r="I53" s="248" t="s">
        <v>392</v>
      </c>
      <c r="J53" s="249" t="s">
        <v>548</v>
      </c>
      <c r="K53" s="218"/>
      <c r="L53" s="267">
        <f>LEN(鍵盤設計表[[#This Row],[方音符號]])</f>
        <v>1</v>
      </c>
      <c r="M53" s="218"/>
      <c r="N53" s="199">
        <f xml:space="preserve"> ROW() - 4</f>
        <v>49</v>
      </c>
      <c r="O53" s="195" t="str">
        <v>l</v>
      </c>
      <c r="P53" s="175" t="str">
        <v>ㄠ</v>
      </c>
      <c r="Q53" s="132" t="str">
        <v>U</v>
      </c>
      <c r="R53" s="175" t="str">
        <v>au</v>
      </c>
      <c r="S53" s="175" t="str">
        <v>au</v>
      </c>
      <c r="T53" s="175" t="str">
        <v>au</v>
      </c>
      <c r="U53" s="175" t="str">
        <v>韻</v>
      </c>
      <c r="V53" s="209">
        <v>0</v>
      </c>
      <c r="W53" s="219"/>
      <c r="X53" s="49">
        <v>49</v>
      </c>
      <c r="Y53" s="55" t="s">
        <v>107</v>
      </c>
      <c r="Z53" s="57" t="s">
        <v>292</v>
      </c>
      <c r="AA53" s="85" t="s">
        <v>91</v>
      </c>
      <c r="AB53" s="60" t="s">
        <v>536</v>
      </c>
    </row>
    <row r="54" spans="2:28" ht="32.25" customHeight="1">
      <c r="B54" s="198">
        <f xml:space="preserve"> ROW() - 4</f>
        <v>50</v>
      </c>
      <c r="C54" s="132" t="s">
        <v>232</v>
      </c>
      <c r="D54" s="175" t="str" cm="1">
        <f t="array" ref="D54" xml:space="preserve"> IFERROR( INDEX(AA54:$AA$54, MATCH(TRUE, EXACT($C54, $Y$5:$Y$54), 0)), "")</f>
        <v/>
      </c>
      <c r="E54" s="175" t="s">
        <v>540</v>
      </c>
      <c r="F54" s="175" t="s">
        <v>540</v>
      </c>
      <c r="G54" s="175" t="s">
        <v>540</v>
      </c>
      <c r="H54" s="175" t="s">
        <v>540</v>
      </c>
      <c r="I54" s="175"/>
      <c r="J54" s="209"/>
      <c r="K54" s="218"/>
      <c r="L54" s="267">
        <f>LEN(鍵盤設計表[[#This Row],[方音符號]])</f>
        <v>0</v>
      </c>
      <c r="M54" s="218"/>
      <c r="N54" s="197">
        <f xml:space="preserve"> ROW() - 4</f>
        <v>50</v>
      </c>
      <c r="O54" s="195" t="str">
        <v>L</v>
      </c>
      <c r="P54" s="175" t="str">
        <v>ㆯ</v>
      </c>
      <c r="Q54" s="132" t="str">
        <v>y</v>
      </c>
      <c r="R54" s="175" t="str">
        <v>aunn</v>
      </c>
      <c r="S54" s="175" t="str">
        <v>aunn</v>
      </c>
      <c r="T54" s="175" t="str">
        <v>nau</v>
      </c>
      <c r="U54" s="175" t="str">
        <v>韻</v>
      </c>
      <c r="V54" s="209">
        <v>0</v>
      </c>
      <c r="W54" s="219"/>
      <c r="X54" s="49">
        <v>50</v>
      </c>
      <c r="Y54" s="55" t="s">
        <v>227</v>
      </c>
      <c r="Z54" s="57" t="s">
        <v>227</v>
      </c>
      <c r="AA54" s="85" t="s">
        <v>92</v>
      </c>
      <c r="AB54" s="60" t="s">
        <v>537</v>
      </c>
    </row>
    <row r="55" spans="2:28" ht="32.25" customHeight="1">
      <c r="B55" s="199">
        <f xml:space="preserve"> ROW() - 4</f>
        <v>51</v>
      </c>
      <c r="C55" s="195" t="s">
        <v>37</v>
      </c>
      <c r="D55" s="194" t="s">
        <v>230</v>
      </c>
      <c r="E55" s="194" t="s">
        <v>146</v>
      </c>
      <c r="F55" s="194" t="s">
        <v>146</v>
      </c>
      <c r="G55" s="194" t="s">
        <v>146</v>
      </c>
      <c r="H55" s="194" t="s">
        <v>146</v>
      </c>
      <c r="I55" s="194" t="s">
        <v>547</v>
      </c>
      <c r="J55" s="210"/>
      <c r="K55" s="218"/>
      <c r="L55" s="267">
        <f>LEN(鍵盤設計表[[#This Row],[方音符號]])</f>
        <v>1</v>
      </c>
      <c r="M55" s="218"/>
      <c r="N55" s="199">
        <f xml:space="preserve"> ROW() - 4</f>
        <v>51</v>
      </c>
      <c r="O55" s="195" t="str">
        <v>.</v>
      </c>
      <c r="P55" s="175" t="str">
        <v>入</v>
      </c>
      <c r="Q55" s="132" t="str">
        <v>&amp;</v>
      </c>
      <c r="R55" s="175" t="str">
        <v>[48]</v>
      </c>
      <c r="S55" s="175" t="str">
        <v>[48]</v>
      </c>
      <c r="T55" s="175" t="str">
        <v>[78]</v>
      </c>
      <c r="U55" s="175" t="str">
        <v>鍵</v>
      </c>
      <c r="V55" s="209">
        <v>0</v>
      </c>
      <c r="W55" s="219"/>
      <c r="X55" s="49">
        <v>53</v>
      </c>
      <c r="Y55" s="203" t="str">
        <f xml:space="preserve"> CHAR(32)</f>
        <v xml:space="preserve"> </v>
      </c>
      <c r="Z55" s="57">
        <v>1</v>
      </c>
      <c r="AA55" s="85" t="s">
        <v>263</v>
      </c>
      <c r="AB55" s="60">
        <v>1</v>
      </c>
    </row>
    <row r="56" spans="2:28" ht="32.25" customHeight="1">
      <c r="B56" s="199">
        <f xml:space="preserve"> ROW() - 4</f>
        <v>52</v>
      </c>
      <c r="C56" s="195" t="s">
        <v>124</v>
      </c>
      <c r="D56" s="194" t="s">
        <v>79</v>
      </c>
      <c r="E56" s="194" t="s">
        <v>210</v>
      </c>
      <c r="F56" s="194" t="s">
        <v>250</v>
      </c>
      <c r="G56" s="194" t="s">
        <v>250</v>
      </c>
      <c r="H56" s="194" t="s">
        <v>635</v>
      </c>
      <c r="I56" s="194" t="s">
        <v>415</v>
      </c>
      <c r="J56" s="210"/>
      <c r="K56" s="218"/>
      <c r="L56" s="267">
        <f>LEN(鍵盤設計表[[#This Row],[方音符號]])</f>
        <v>1</v>
      </c>
      <c r="M56" s="218"/>
      <c r="N56" s="199">
        <f xml:space="preserve"> ROW() - 4</f>
        <v>52</v>
      </c>
      <c r="O56" s="195" t="str">
        <v>0</v>
      </c>
      <c r="P56" s="175" t="str">
        <v>ㄢ</v>
      </c>
      <c r="Q56" s="132" t="str">
        <v>@</v>
      </c>
      <c r="R56" s="175" t="str">
        <v>an</v>
      </c>
      <c r="S56" s="175" t="str">
        <v>an</v>
      </c>
      <c r="T56" s="175" t="str">
        <v>an</v>
      </c>
      <c r="U56" s="175" t="str">
        <v>韻</v>
      </c>
      <c r="V56" s="209">
        <v>0</v>
      </c>
      <c r="W56" s="219"/>
      <c r="X56" s="49">
        <v>54</v>
      </c>
      <c r="Y56" s="55" t="s">
        <v>111</v>
      </c>
      <c r="Z56" s="57">
        <v>2</v>
      </c>
      <c r="AA56" s="85" t="s">
        <v>73</v>
      </c>
      <c r="AB56" s="60">
        <v>2</v>
      </c>
    </row>
    <row r="57" spans="2:28" ht="32.25" customHeight="1">
      <c r="B57" s="199">
        <f xml:space="preserve"> ROW() - 4</f>
        <v>53</v>
      </c>
      <c r="C57" s="195" t="s">
        <v>29</v>
      </c>
      <c r="D57" s="194" t="s">
        <v>36</v>
      </c>
      <c r="E57" s="194" t="s">
        <v>113</v>
      </c>
      <c r="F57" s="194" t="s">
        <v>113</v>
      </c>
      <c r="G57" s="194" t="s">
        <v>113</v>
      </c>
      <c r="H57" s="194" t="s">
        <v>113</v>
      </c>
      <c r="I57" s="194" t="s">
        <v>415</v>
      </c>
      <c r="J57" s="210"/>
      <c r="K57" s="218"/>
      <c r="L57" s="267">
        <f>LEN(鍵盤設計表[[#This Row],[方音符號]])</f>
        <v>1</v>
      </c>
      <c r="M57" s="218"/>
      <c r="N57" s="198">
        <f xml:space="preserve"> ROW() - 4</f>
        <v>53</v>
      </c>
      <c r="O57" s="195" t="str">
        <v>p</v>
      </c>
      <c r="P57" s="175" t="str">
        <v>ㄣ</v>
      </c>
      <c r="Q57" s="132" t="str">
        <v>N</v>
      </c>
      <c r="R57" s="175" t="str">
        <v>n</v>
      </c>
      <c r="S57" s="175" t="str">
        <v>n</v>
      </c>
      <c r="T57" s="175" t="str">
        <v>n</v>
      </c>
      <c r="U57" s="175" t="str">
        <v>韻</v>
      </c>
      <c r="V57" s="209" t="str">
        <v>n鼻音韻尾編碼：【N】</v>
      </c>
      <c r="W57" s="219"/>
      <c r="X57" s="49">
        <v>55</v>
      </c>
      <c r="Y57" s="55" t="s">
        <v>110</v>
      </c>
      <c r="Z57" s="57">
        <v>3</v>
      </c>
      <c r="AA57" s="85" t="s">
        <v>74</v>
      </c>
      <c r="AB57" s="60">
        <v>3</v>
      </c>
    </row>
    <row r="58" spans="2:28" ht="32.25" customHeight="1">
      <c r="B58" s="199">
        <f xml:space="preserve"> ROW() - 4</f>
        <v>54</v>
      </c>
      <c r="C58" s="195" t="s">
        <v>183</v>
      </c>
      <c r="D58" s="194" t="s">
        <v>80</v>
      </c>
      <c r="E58" s="194" t="s">
        <v>204</v>
      </c>
      <c r="F58" s="194" t="s">
        <v>254</v>
      </c>
      <c r="G58" s="194" t="s">
        <v>254</v>
      </c>
      <c r="H58" s="194" t="s">
        <v>636</v>
      </c>
      <c r="I58" s="194" t="s">
        <v>415</v>
      </c>
      <c r="J58" s="210"/>
      <c r="K58" s="218"/>
      <c r="L58" s="267">
        <f>LEN(鍵盤設計表[[#This Row],[方音符號]])</f>
        <v>1</v>
      </c>
      <c r="M58" s="218"/>
      <c r="N58" s="198">
        <f xml:space="preserve"> ROW() - 4</f>
        <v>54</v>
      </c>
      <c r="O58" s="195" t="str">
        <v>;</v>
      </c>
      <c r="P58" s="175" t="str">
        <v>ㄤ</v>
      </c>
      <c r="Q58" s="132" t="str">
        <v>A</v>
      </c>
      <c r="R58" s="175" t="str">
        <v>ang</v>
      </c>
      <c r="S58" s="175" t="str">
        <v>ang</v>
      </c>
      <c r="T58" s="175" t="str">
        <v>ang</v>
      </c>
      <c r="U58" s="175" t="str">
        <v>韻</v>
      </c>
      <c r="V58" s="209">
        <v>0</v>
      </c>
      <c r="W58" s="219"/>
      <c r="X58" s="49">
        <v>56</v>
      </c>
      <c r="Y58" s="55" t="s">
        <v>104</v>
      </c>
      <c r="Z58" s="57">
        <v>5</v>
      </c>
      <c r="AA58" s="85" t="s">
        <v>75</v>
      </c>
      <c r="AB58" s="60">
        <v>5</v>
      </c>
    </row>
    <row r="59" spans="2:28" ht="32.25" customHeight="1">
      <c r="B59" s="198">
        <f xml:space="preserve"> ROW() - 4</f>
        <v>55</v>
      </c>
      <c r="C59" s="132" t="s">
        <v>95</v>
      </c>
      <c r="D59" s="189" t="s">
        <v>97</v>
      </c>
      <c r="E59" s="189" t="s">
        <v>257</v>
      </c>
      <c r="F59" s="189" t="s">
        <v>95</v>
      </c>
      <c r="G59" s="189" t="s">
        <v>95</v>
      </c>
      <c r="H59" s="189" t="s">
        <v>95</v>
      </c>
      <c r="I59" s="245" t="s">
        <v>415</v>
      </c>
      <c r="J59" s="246"/>
      <c r="K59" s="218"/>
      <c r="L59" s="267">
        <f>LEN(鍵盤設計表[[#This Row],[方音符號]])</f>
        <v>1</v>
      </c>
      <c r="M59" s="218"/>
      <c r="N59" s="198">
        <f xml:space="preserve"> ROW() - 4</f>
        <v>55</v>
      </c>
      <c r="O59" s="195" t="str">
        <v>:</v>
      </c>
      <c r="P59" s="175" t="str">
        <v>ˉ</v>
      </c>
      <c r="Q59" s="132">
        <v>1</v>
      </c>
      <c r="R59" s="175">
        <v>1</v>
      </c>
      <c r="S59" s="175">
        <v>1</v>
      </c>
      <c r="T59" s="175">
        <v>1</v>
      </c>
      <c r="U59" s="175" t="str">
        <v>調</v>
      </c>
      <c r="V59" s="209">
        <v>0</v>
      </c>
      <c r="W59" s="219"/>
      <c r="X59" s="49">
        <v>57</v>
      </c>
      <c r="Y59" s="55" t="s">
        <v>103</v>
      </c>
      <c r="Z59" s="57">
        <v>7</v>
      </c>
      <c r="AA59" s="85" t="s">
        <v>76</v>
      </c>
      <c r="AB59" s="60">
        <v>7</v>
      </c>
    </row>
    <row r="60" spans="2:28" ht="32.25" customHeight="1">
      <c r="B60" s="198">
        <f xml:space="preserve"> ROW() - 4</f>
        <v>56</v>
      </c>
      <c r="C60" s="250" t="s">
        <v>257</v>
      </c>
      <c r="D60" s="175" t="s">
        <v>69</v>
      </c>
      <c r="E60" s="175" t="s">
        <v>624</v>
      </c>
      <c r="F60" s="175" t="s">
        <v>117</v>
      </c>
      <c r="G60" s="175" t="s">
        <v>117</v>
      </c>
      <c r="H60" s="175" t="s">
        <v>117</v>
      </c>
      <c r="I60" s="175" t="s">
        <v>415</v>
      </c>
      <c r="J60" s="209" t="s">
        <v>564</v>
      </c>
      <c r="K60" s="218"/>
      <c r="L60" s="267">
        <f>LEN(鍵盤設計表[[#This Row],[方音符號]])</f>
        <v>1</v>
      </c>
      <c r="M60" s="218"/>
      <c r="N60" s="198">
        <f xml:space="preserve"> ROW() - 4</f>
        <v>56</v>
      </c>
      <c r="O60" s="195" t="str">
        <v>/</v>
      </c>
      <c r="P60" s="175" t="str">
        <v>ㆭ</v>
      </c>
      <c r="Q60" s="132" t="str">
        <v>G</v>
      </c>
      <c r="R60" s="175" t="str">
        <v>ng</v>
      </c>
      <c r="S60" s="175" t="str">
        <v>ng</v>
      </c>
      <c r="T60" s="175" t="str">
        <v>ng</v>
      </c>
      <c r="U60" s="175" t="str">
        <v>韻</v>
      </c>
      <c r="V60" s="209" t="str">
        <v>ng鼻音韻尾編碼：【G】</v>
      </c>
      <c r="W60" s="219"/>
      <c r="X60" s="49">
        <v>58</v>
      </c>
      <c r="Y60" s="55" t="s">
        <v>102</v>
      </c>
      <c r="Z60" s="57">
        <v>0</v>
      </c>
      <c r="AA60" s="85" t="s">
        <v>77</v>
      </c>
      <c r="AB60" s="60">
        <v>48</v>
      </c>
    </row>
    <row r="61" spans="2:28" ht="32.25" customHeight="1">
      <c r="B61" s="197">
        <f xml:space="preserve"> ROW() - 4</f>
        <v>57</v>
      </c>
      <c r="C61" s="128" t="s">
        <v>304</v>
      </c>
      <c r="D61" s="173" t="s">
        <v>38</v>
      </c>
      <c r="E61" s="173" t="s">
        <v>174</v>
      </c>
      <c r="F61" s="173" t="s">
        <v>174</v>
      </c>
      <c r="G61" s="173" t="s">
        <v>174</v>
      </c>
      <c r="H61" s="173" t="s">
        <v>174</v>
      </c>
      <c r="I61" s="173" t="s">
        <v>415</v>
      </c>
      <c r="J61" s="208"/>
      <c r="K61" s="218"/>
      <c r="L61" s="267">
        <f>LEN(鍵盤設計表[[#This Row],[方音符號]])</f>
        <v>1</v>
      </c>
      <c r="M61" s="218"/>
      <c r="N61" s="198">
        <f xml:space="preserve"> ROW() - 4</f>
        <v>57</v>
      </c>
      <c r="O61" s="195" t="str">
        <v>?</v>
      </c>
      <c r="P61" s="175" t="str">
        <v>ㄥ</v>
      </c>
      <c r="Q61" s="132" t="str">
        <v>L</v>
      </c>
      <c r="R61" s="175" t="str">
        <v>nn</v>
      </c>
      <c r="S61" s="175" t="str">
        <v>nn</v>
      </c>
      <c r="T61" s="175" t="str">
        <v>nn</v>
      </c>
      <c r="U61" s="175" t="str">
        <v>鍵</v>
      </c>
      <c r="V61" s="209" t="str">
        <v>輸入【鼻音化韻母】的【前置識別符】</v>
      </c>
      <c r="W61" s="219"/>
      <c r="X61" s="126"/>
      <c r="Y61" s="126"/>
    </row>
    <row r="62" spans="2:28" ht="32.25" customHeight="1">
      <c r="B62" s="198">
        <f xml:space="preserve"> ROW() - 4</f>
        <v>58</v>
      </c>
      <c r="C62" s="132" t="s">
        <v>235</v>
      </c>
      <c r="D62" s="175" t="s">
        <v>81</v>
      </c>
      <c r="E62" s="175" t="s">
        <v>216</v>
      </c>
      <c r="F62" s="175" t="s">
        <v>144</v>
      </c>
      <c r="G62" s="175" t="s">
        <v>144</v>
      </c>
      <c r="H62" s="175" t="s">
        <v>614</v>
      </c>
      <c r="I62" s="175" t="s">
        <v>415</v>
      </c>
      <c r="J62" s="209"/>
      <c r="K62" s="218"/>
      <c r="L62" s="267">
        <f>LEN(鍵盤設計表[[#This Row],[方音符號]])</f>
        <v>1</v>
      </c>
      <c r="M62" s="218"/>
      <c r="N62" s="198">
        <f xml:space="preserve"> ROW() - 4</f>
        <v>58</v>
      </c>
      <c r="O62" s="195" t="str">
        <v>-</v>
      </c>
      <c r="P62" s="175" t="str">
        <v>ñ</v>
      </c>
      <c r="Q62" s="132" t="str">
        <v>*</v>
      </c>
      <c r="R62" s="175" t="str">
        <v>*nn</v>
      </c>
      <c r="S62" s="175" t="str">
        <v>*nn</v>
      </c>
      <c r="T62" s="175" t="str">
        <v>*nn</v>
      </c>
      <c r="U62" s="175" t="str">
        <v>鍵</v>
      </c>
      <c r="V62" s="209" t="str">
        <v>Ƞ</v>
      </c>
      <c r="W62" s="219"/>
      <c r="X62" s="126"/>
      <c r="Y62" s="126"/>
    </row>
    <row r="63" spans="2:28" ht="32.25" customHeight="1">
      <c r="B63" s="199">
        <f xml:space="preserve"> ROW() - 4</f>
        <v>59</v>
      </c>
      <c r="C63" s="195" t="s">
        <v>35</v>
      </c>
      <c r="D63" s="194" t="s">
        <v>44</v>
      </c>
      <c r="E63" s="194" t="s">
        <v>139</v>
      </c>
      <c r="F63" s="194" t="s">
        <v>171</v>
      </c>
      <c r="G63" s="194" t="s">
        <v>171</v>
      </c>
      <c r="H63" s="194" t="s">
        <v>171</v>
      </c>
      <c r="I63" s="194" t="s">
        <v>415</v>
      </c>
      <c r="J63" s="210"/>
      <c r="K63" s="218"/>
      <c r="L63" s="267">
        <f>LEN(鍵盤設計表[[#This Row],[方音符號]])</f>
        <v>1</v>
      </c>
      <c r="M63" s="218"/>
      <c r="N63" s="198">
        <f xml:space="preserve"> ROW() - 4</f>
        <v>59</v>
      </c>
      <c r="O63" s="195" t="str">
        <v>[</v>
      </c>
      <c r="P63" s="175" t="str">
        <v>ˉ</v>
      </c>
      <c r="Q63" s="132">
        <v>7</v>
      </c>
      <c r="R63" s="175">
        <v>4</v>
      </c>
      <c r="S63" s="175">
        <v>4</v>
      </c>
      <c r="T63" s="175">
        <v>7</v>
      </c>
      <c r="U63" s="175" t="str">
        <v>調</v>
      </c>
      <c r="V63" s="209">
        <v>0</v>
      </c>
      <c r="W63" s="219"/>
      <c r="X63" s="126"/>
      <c r="Y63" s="126"/>
    </row>
    <row r="64" spans="2:28" ht="32.25" customHeight="1">
      <c r="B64" s="199">
        <f xml:space="preserve"> ROW() - 4</f>
        <v>60</v>
      </c>
      <c r="C64" s="195" t="s">
        <v>126</v>
      </c>
      <c r="D64" s="194" t="s">
        <v>84</v>
      </c>
      <c r="E64" s="194" t="s">
        <v>196</v>
      </c>
      <c r="F64" s="194" t="s">
        <v>142</v>
      </c>
      <c r="G64" s="194" t="s">
        <v>377</v>
      </c>
      <c r="H64" s="194" t="s">
        <v>613</v>
      </c>
      <c r="I64" s="194" t="s">
        <v>415</v>
      </c>
      <c r="J64" s="210"/>
      <c r="K64" s="218"/>
      <c r="L64" s="267">
        <f>LEN(鍵盤設計表[[#This Row],[方音符號]])</f>
        <v>1</v>
      </c>
      <c r="M64" s="218"/>
      <c r="N64" s="198">
        <f xml:space="preserve"> ROW() - 4</f>
        <v>60</v>
      </c>
      <c r="O64" s="195" t="str">
        <v>]</v>
      </c>
      <c r="P64" s="175" t="str">
        <v>˙</v>
      </c>
      <c r="Q64" s="132">
        <v>8</v>
      </c>
      <c r="R64" s="175">
        <v>8</v>
      </c>
      <c r="S64" s="175">
        <v>8</v>
      </c>
      <c r="T64" s="175">
        <v>8</v>
      </c>
      <c r="U64" s="175" t="str">
        <v>調</v>
      </c>
      <c r="V64" s="209">
        <v>0</v>
      </c>
      <c r="W64" s="219"/>
      <c r="X64" s="126"/>
      <c r="Y64" s="126"/>
    </row>
    <row r="65" spans="2:25" ht="32.25" customHeight="1">
      <c r="B65" s="199">
        <f xml:space="preserve"> ROW() - 4</f>
        <v>61</v>
      </c>
      <c r="C65" s="195" t="s">
        <v>158</v>
      </c>
      <c r="D65" s="194" t="s">
        <v>233</v>
      </c>
      <c r="E65" s="194" t="s">
        <v>42</v>
      </c>
      <c r="F65" s="194" t="s">
        <v>42</v>
      </c>
      <c r="G65" s="194" t="s">
        <v>378</v>
      </c>
      <c r="H65" s="194" t="s">
        <v>615</v>
      </c>
      <c r="I65" s="194" t="s">
        <v>415</v>
      </c>
      <c r="J65" s="210"/>
      <c r="K65" s="218"/>
      <c r="L65" s="267">
        <f>LEN(鍵盤設計表[[#This Row],[方音符號]])</f>
        <v>1</v>
      </c>
      <c r="M65" s="218"/>
      <c r="W65" s="219"/>
      <c r="X65" s="126"/>
      <c r="Y65" s="126"/>
    </row>
    <row r="66" spans="2:25" ht="32.25" customHeight="1">
      <c r="B66" s="199">
        <f xml:space="preserve"> ROW() - 4</f>
        <v>62</v>
      </c>
      <c r="C66" s="195" t="s">
        <v>157</v>
      </c>
      <c r="D66" s="194" t="s">
        <v>305</v>
      </c>
      <c r="E66" s="194" t="s">
        <v>630</v>
      </c>
      <c r="F66" s="194" t="s">
        <v>255</v>
      </c>
      <c r="G66" s="194" t="s">
        <v>255</v>
      </c>
      <c r="H66" s="194" t="s">
        <v>616</v>
      </c>
      <c r="I66" s="194" t="s">
        <v>415</v>
      </c>
      <c r="J66" s="210"/>
      <c r="K66" s="218"/>
      <c r="L66" s="267">
        <f>LEN(鍵盤設計表[[#This Row],[方音符號]])</f>
        <v>1</v>
      </c>
      <c r="M66" s="218"/>
      <c r="W66" s="219"/>
      <c r="X66" s="126"/>
      <c r="Y66" s="126"/>
    </row>
    <row r="67" spans="2:25" ht="32.25" customHeight="1">
      <c r="B67" s="198">
        <f xml:space="preserve"> ROW() - 4</f>
        <v>63</v>
      </c>
      <c r="C67" s="132" t="s">
        <v>123</v>
      </c>
      <c r="D67" s="175" t="s">
        <v>40</v>
      </c>
      <c r="E67" s="175" t="s">
        <v>162</v>
      </c>
      <c r="F67" s="175" t="s">
        <v>162</v>
      </c>
      <c r="G67" s="175" t="s">
        <v>162</v>
      </c>
      <c r="H67" s="175" t="s">
        <v>162</v>
      </c>
      <c r="I67" s="194" t="s">
        <v>415</v>
      </c>
      <c r="J67" s="210"/>
      <c r="K67" s="218"/>
      <c r="L67" s="267">
        <f>LEN(鍵盤設計表[[#This Row],[方音符號]])</f>
        <v>1</v>
      </c>
      <c r="M67" s="218"/>
      <c r="W67" s="219"/>
      <c r="X67" s="126"/>
      <c r="Y67" s="126"/>
    </row>
    <row r="68" spans="2:25" ht="32.25" customHeight="1">
      <c r="B68" s="198">
        <f xml:space="preserve"> ROW() - 4</f>
        <v>64</v>
      </c>
      <c r="C68" s="132" t="s">
        <v>122</v>
      </c>
      <c r="D68" s="175" t="s">
        <v>83</v>
      </c>
      <c r="E68" s="175" t="s">
        <v>207</v>
      </c>
      <c r="F68" s="175" t="s">
        <v>141</v>
      </c>
      <c r="G68" s="175" t="s">
        <v>141</v>
      </c>
      <c r="H68" s="175" t="s">
        <v>617</v>
      </c>
      <c r="I68" s="194" t="s">
        <v>415</v>
      </c>
      <c r="J68" s="210"/>
      <c r="K68" s="218"/>
      <c r="L68" s="267">
        <f>LEN(鍵盤設計表[[#This Row],[方音符號]])</f>
        <v>1</v>
      </c>
      <c r="M68" s="218"/>
      <c r="W68" s="219"/>
      <c r="X68" s="126"/>
      <c r="Y68" s="126"/>
    </row>
    <row r="69" spans="2:25" ht="32.25" customHeight="1">
      <c r="B69" s="197">
        <f xml:space="preserve"> ROW() - 4</f>
        <v>65</v>
      </c>
      <c r="C69" s="128" t="s">
        <v>137</v>
      </c>
      <c r="D69" s="173" t="s">
        <v>128</v>
      </c>
      <c r="E69" s="173" t="s">
        <v>628</v>
      </c>
      <c r="F69" s="173" t="s">
        <v>163</v>
      </c>
      <c r="G69" s="173" t="s">
        <v>163</v>
      </c>
      <c r="H69" s="173" t="s">
        <v>163</v>
      </c>
      <c r="I69" s="173" t="s">
        <v>415</v>
      </c>
      <c r="J69" s="208"/>
      <c r="K69" s="218"/>
      <c r="L69" s="267">
        <f>LEN(鍵盤設計表[[#This Row],[方音符號]])</f>
        <v>1</v>
      </c>
      <c r="M69" s="218"/>
      <c r="W69" s="219"/>
      <c r="X69" s="126"/>
      <c r="Y69" s="126"/>
    </row>
    <row r="70" spans="2:25" ht="32.25" customHeight="1">
      <c r="B70" s="198">
        <f xml:space="preserve"> ROW() - 4</f>
        <v>66</v>
      </c>
      <c r="C70" s="132" t="s">
        <v>237</v>
      </c>
      <c r="D70" s="175" t="s">
        <v>82</v>
      </c>
      <c r="E70" s="175" t="s">
        <v>631</v>
      </c>
      <c r="F70" s="175" t="s">
        <v>140</v>
      </c>
      <c r="G70" s="175" t="s">
        <v>140</v>
      </c>
      <c r="H70" s="175" t="s">
        <v>618</v>
      </c>
      <c r="I70" s="175" t="s">
        <v>415</v>
      </c>
      <c r="J70" s="209"/>
      <c r="K70" s="218"/>
      <c r="L70" s="267">
        <f>LEN(鍵盤設計表[[#This Row],[方音符號]])</f>
        <v>1</v>
      </c>
      <c r="M70" s="218"/>
      <c r="W70" s="219"/>
      <c r="X70" s="126"/>
      <c r="Y70" s="126"/>
    </row>
    <row r="71" spans="2:25" ht="32.25" customHeight="1">
      <c r="B71" s="199">
        <f xml:space="preserve"> ROW() - 4</f>
        <v>67</v>
      </c>
      <c r="C71" s="216" t="s">
        <v>43</v>
      </c>
      <c r="D71" s="245" t="s">
        <v>71</v>
      </c>
      <c r="E71" s="254" t="s">
        <v>226</v>
      </c>
      <c r="F71" s="254" t="s">
        <v>100</v>
      </c>
      <c r="G71" s="254" t="s">
        <v>100</v>
      </c>
      <c r="H71" s="254" t="s">
        <v>100</v>
      </c>
      <c r="I71" s="245" t="s">
        <v>415</v>
      </c>
      <c r="J71" s="246" t="s">
        <v>563</v>
      </c>
      <c r="K71" s="218"/>
      <c r="L71" s="267">
        <f>LEN(鍵盤設計表[[#This Row],[方音符號]])</f>
        <v>1</v>
      </c>
      <c r="M71" s="218" t="s">
        <v>539</v>
      </c>
      <c r="W71" s="219"/>
      <c r="X71" s="126"/>
      <c r="Y71" s="126"/>
    </row>
    <row r="72" spans="2:25" ht="32.25" customHeight="1">
      <c r="B72" s="199">
        <f xml:space="preserve"> ROW() - 4</f>
        <v>68</v>
      </c>
      <c r="C72" s="195" t="s">
        <v>46</v>
      </c>
      <c r="D72" s="175" t="s">
        <v>86</v>
      </c>
      <c r="E72" s="175" t="s">
        <v>622</v>
      </c>
      <c r="F72" s="175" t="s">
        <v>116</v>
      </c>
      <c r="G72" s="175" t="s">
        <v>116</v>
      </c>
      <c r="H72" s="175" t="s">
        <v>116</v>
      </c>
      <c r="I72" s="175" t="s">
        <v>415</v>
      </c>
      <c r="J72" s="209" t="s">
        <v>564</v>
      </c>
      <c r="K72" s="218"/>
      <c r="L72" s="267">
        <f>LEN(鍵盤設計表[[#This Row],[方音符號]])</f>
        <v>1</v>
      </c>
      <c r="M72" s="218"/>
      <c r="W72" s="219"/>
      <c r="X72" s="126"/>
      <c r="Y72" s="126"/>
    </row>
    <row r="73" spans="2:25" ht="32.25" customHeight="1">
      <c r="B73" s="199">
        <f xml:space="preserve"> ROW() - 4</f>
        <v>69</v>
      </c>
      <c r="C73" s="195" t="s">
        <v>240</v>
      </c>
      <c r="D73" s="194" t="s">
        <v>48</v>
      </c>
      <c r="E73" s="194" t="s">
        <v>623</v>
      </c>
      <c r="F73" s="194" t="s">
        <v>160</v>
      </c>
      <c r="G73" s="194" t="s">
        <v>160</v>
      </c>
      <c r="H73" s="194" t="s">
        <v>160</v>
      </c>
      <c r="I73" s="194" t="s">
        <v>415</v>
      </c>
      <c r="J73" s="210"/>
      <c r="K73" s="218"/>
      <c r="L73" s="267">
        <f>LEN(鍵盤設計表[[#This Row],[方音符號]])</f>
        <v>1</v>
      </c>
      <c r="M73" s="218"/>
      <c r="W73" s="219"/>
      <c r="X73" s="126"/>
      <c r="Y73" s="126"/>
    </row>
    <row r="74" spans="2:25" ht="32.25" customHeight="1">
      <c r="B74" s="199">
        <f xml:space="preserve"> ROW() - 4</f>
        <v>70</v>
      </c>
      <c r="C74" s="195" t="s">
        <v>241</v>
      </c>
      <c r="D74" s="194" t="s">
        <v>85</v>
      </c>
      <c r="E74" s="194" t="s">
        <v>632</v>
      </c>
      <c r="F74" s="194" t="s">
        <v>138</v>
      </c>
      <c r="G74" s="194" t="s">
        <v>138</v>
      </c>
      <c r="H74" s="194" t="s">
        <v>619</v>
      </c>
      <c r="I74" s="194" t="s">
        <v>415</v>
      </c>
      <c r="J74" s="210"/>
      <c r="K74" s="218"/>
      <c r="L74" s="267">
        <f>LEN(鍵盤設計表[[#This Row],[方音符號]])</f>
        <v>1</v>
      </c>
      <c r="M74" s="218"/>
      <c r="W74" s="219"/>
      <c r="X74" s="126"/>
      <c r="Y74" s="126"/>
    </row>
    <row r="75" spans="2:25" ht="32.25" customHeight="1">
      <c r="B75" s="199">
        <f xml:space="preserve"> ROW() - 4</f>
        <v>71</v>
      </c>
      <c r="C75" s="280" t="s">
        <v>243</v>
      </c>
      <c r="D75" s="281" t="s">
        <v>596</v>
      </c>
      <c r="E75" s="281" t="s">
        <v>232</v>
      </c>
      <c r="F75" s="281" t="s">
        <v>313</v>
      </c>
      <c r="G75" s="281" t="s">
        <v>313</v>
      </c>
      <c r="H75" s="281" t="s">
        <v>697</v>
      </c>
      <c r="I75" s="281" t="s">
        <v>584</v>
      </c>
      <c r="J75" s="210"/>
      <c r="K75" s="218"/>
      <c r="L75" s="267">
        <f>LEN(鍵盤設計表[[#This Row],[方音符號]])</f>
        <v>1</v>
      </c>
      <c r="M75" s="218"/>
      <c r="W75" s="219"/>
      <c r="X75" s="126"/>
      <c r="Y75" s="126"/>
    </row>
    <row r="76" spans="2:25" ht="32.25" customHeight="1">
      <c r="B76" s="198">
        <f xml:space="preserve"> ROW() - 4</f>
        <v>72</v>
      </c>
      <c r="C76" s="282" t="s">
        <v>593</v>
      </c>
      <c r="D76" s="175"/>
      <c r="E76" s="175"/>
      <c r="F76" s="175"/>
      <c r="G76" s="175"/>
      <c r="H76" s="175"/>
      <c r="I76" s="175"/>
      <c r="J76" s="209"/>
      <c r="K76" s="218"/>
      <c r="L76" s="267">
        <f>LEN(鍵盤設計表[[#This Row],[方音符號]])</f>
        <v>0</v>
      </c>
      <c r="M76" s="218"/>
      <c r="W76" s="219"/>
      <c r="X76" s="126"/>
      <c r="Y76" s="126"/>
    </row>
    <row r="77" spans="2:25" ht="32.25" customHeight="1">
      <c r="B77" s="197">
        <f xml:space="preserve"> ROW() - 4</f>
        <v>73</v>
      </c>
      <c r="C77" s="128" t="s">
        <v>121</v>
      </c>
      <c r="D77" s="173" t="s">
        <v>67</v>
      </c>
      <c r="E77" s="173" t="s">
        <v>316</v>
      </c>
      <c r="F77" s="173" t="s">
        <v>105</v>
      </c>
      <c r="G77" s="173" t="s">
        <v>105</v>
      </c>
      <c r="H77" s="173" t="s">
        <v>105</v>
      </c>
      <c r="I77" s="173" t="s">
        <v>415</v>
      </c>
      <c r="J77" s="208"/>
      <c r="K77" s="218"/>
      <c r="L77" s="267">
        <f>LEN(鍵盤設計表[[#This Row],[方音符號]])</f>
        <v>1</v>
      </c>
      <c r="M77" s="218"/>
      <c r="W77" s="219"/>
      <c r="X77" s="126"/>
      <c r="Y77" s="126"/>
    </row>
    <row r="78" spans="2:25" ht="32.25" customHeight="1">
      <c r="B78" s="198">
        <f xml:space="preserve"> ROW() - 4</f>
        <v>74</v>
      </c>
      <c r="C78" s="132" t="s">
        <v>245</v>
      </c>
      <c r="D78" s="175" t="str" cm="1">
        <f t="array" ref="D78" xml:space="preserve"> IFERROR( INDEX(AA$54:$AA78, MATCH(TRUE, EXACT($C78, $Y$5:$Y$54), 0)), "")</f>
        <v/>
      </c>
      <c r="E78" s="175" t="s">
        <v>540</v>
      </c>
      <c r="F78" s="175" t="s">
        <v>540</v>
      </c>
      <c r="G78" s="175" t="s">
        <v>540</v>
      </c>
      <c r="H78" s="175" t="s">
        <v>540</v>
      </c>
      <c r="I78" s="175"/>
      <c r="J78" s="209"/>
      <c r="K78" s="218"/>
      <c r="L78" s="267">
        <f>LEN(鍵盤設計表[[#This Row],[方音符號]])</f>
        <v>0</v>
      </c>
      <c r="M78" s="218"/>
      <c r="W78" s="219"/>
      <c r="X78" s="126"/>
      <c r="Y78" s="126"/>
    </row>
    <row r="79" spans="2:25" ht="32.25" customHeight="1">
      <c r="B79" s="199">
        <f xml:space="preserve"> ROW() - 4</f>
        <v>75</v>
      </c>
      <c r="C79" s="195" t="s">
        <v>9</v>
      </c>
      <c r="D79" s="194" t="s">
        <v>52</v>
      </c>
      <c r="E79" s="194" t="s">
        <v>293</v>
      </c>
      <c r="F79" s="194" t="s">
        <v>19</v>
      </c>
      <c r="G79" s="194" t="s">
        <v>19</v>
      </c>
      <c r="H79" s="194" t="s">
        <v>19</v>
      </c>
      <c r="I79" s="194" t="s">
        <v>415</v>
      </c>
      <c r="J79" s="210" t="s">
        <v>551</v>
      </c>
      <c r="K79" s="218"/>
      <c r="L79" s="267">
        <f>LEN(鍵盤設計表[[#This Row],[方音符號]])</f>
        <v>1</v>
      </c>
      <c r="M79" s="218"/>
      <c r="W79" s="219"/>
      <c r="X79" s="126"/>
      <c r="Y79" s="126"/>
    </row>
    <row r="80" spans="2:25" ht="32.25" customHeight="1">
      <c r="B80" s="199">
        <f xml:space="preserve"> ROW() - 4</f>
        <v>76</v>
      </c>
      <c r="C80" s="195" t="s">
        <v>177</v>
      </c>
      <c r="D80" s="194" t="str" cm="1">
        <f t="array" ref="D80" xml:space="preserve"> IFERROR( INDEX(AA$54:$AA80, MATCH(TRUE, EXACT($C80, $Y$5:$Y$54), 0)), "")</f>
        <v/>
      </c>
      <c r="E80" s="194" t="s">
        <v>540</v>
      </c>
      <c r="F80" s="194" t="s">
        <v>540</v>
      </c>
      <c r="G80" s="194" t="s">
        <v>540</v>
      </c>
      <c r="H80" s="194" t="s">
        <v>540</v>
      </c>
      <c r="I80" s="194"/>
      <c r="J80" s="210"/>
      <c r="K80" s="218"/>
      <c r="L80" s="267">
        <f>LEN(鍵盤設計表[[#This Row],[方音符號]])</f>
        <v>0</v>
      </c>
      <c r="M80" s="218"/>
      <c r="W80" s="219"/>
      <c r="X80" s="126"/>
      <c r="Y80" s="126"/>
    </row>
    <row r="81" spans="2:25" ht="32.25" customHeight="1">
      <c r="B81" s="199">
        <f xml:space="preserve"> ROW() - 4</f>
        <v>77</v>
      </c>
      <c r="C81" s="195" t="s">
        <v>249</v>
      </c>
      <c r="D81" s="194" t="s">
        <v>65</v>
      </c>
      <c r="E81" s="194" t="s">
        <v>621</v>
      </c>
      <c r="F81" s="194" t="s">
        <v>101</v>
      </c>
      <c r="G81" s="194" t="s">
        <v>101</v>
      </c>
      <c r="H81" s="194" t="s">
        <v>101</v>
      </c>
      <c r="I81" s="194" t="s">
        <v>415</v>
      </c>
      <c r="J81" s="210"/>
      <c r="K81" s="218"/>
      <c r="L81" s="267">
        <f>LEN(鍵盤設計表[[#This Row],[方音符號]])</f>
        <v>1</v>
      </c>
      <c r="M81" s="218"/>
      <c r="W81" s="219"/>
      <c r="X81" s="126"/>
      <c r="Y81" s="126"/>
    </row>
    <row r="82" spans="2:25" ht="32.25" customHeight="1">
      <c r="B82" s="199">
        <f xml:space="preserve"> ROW() - 4</f>
        <v>78</v>
      </c>
      <c r="C82" s="195" t="s">
        <v>247</v>
      </c>
      <c r="D82" s="194" t="s">
        <v>263</v>
      </c>
      <c r="E82" s="194">
        <v>1</v>
      </c>
      <c r="F82" s="194">
        <v>1</v>
      </c>
      <c r="G82" s="194">
        <v>1</v>
      </c>
      <c r="H82" s="194">
        <v>1</v>
      </c>
      <c r="I82" s="194" t="s">
        <v>392</v>
      </c>
      <c r="J82" s="210"/>
      <c r="K82" s="218"/>
      <c r="L82" s="267">
        <f>LEN(鍵盤設計表[[#This Row],[方音符號]])</f>
        <v>1</v>
      </c>
      <c r="M82" s="218"/>
      <c r="W82" s="219"/>
      <c r="X82" s="126"/>
      <c r="Y82" s="126"/>
    </row>
    <row r="83" spans="2:25" ht="32.25" customHeight="1">
      <c r="B83" s="198">
        <f xml:space="preserve"> ROW() - 4</f>
        <v>79</v>
      </c>
      <c r="C83" s="132" t="s">
        <v>252</v>
      </c>
      <c r="D83" s="175" t="s">
        <v>50</v>
      </c>
      <c r="E83" s="175" t="s">
        <v>620</v>
      </c>
      <c r="F83" s="175" t="s">
        <v>93</v>
      </c>
      <c r="G83" s="175" t="s">
        <v>93</v>
      </c>
      <c r="H83" s="175" t="s">
        <v>93</v>
      </c>
      <c r="I83" s="175" t="s">
        <v>415</v>
      </c>
      <c r="J83" s="209" t="s">
        <v>581</v>
      </c>
      <c r="K83" s="218"/>
      <c r="L83" s="267">
        <f>LEN(鍵盤設計表[[#This Row],[方音符號]])</f>
        <v>1</v>
      </c>
      <c r="M83" s="218"/>
      <c r="W83" s="219"/>
      <c r="X83" s="126"/>
      <c r="Y83" s="126"/>
    </row>
    <row r="84" spans="2:25" ht="32.25" customHeight="1">
      <c r="B84" s="198">
        <f xml:space="preserve"> ROW() - 4</f>
        <v>80</v>
      </c>
      <c r="C84" s="250" t="s">
        <v>253</v>
      </c>
      <c r="D84" s="189" t="s">
        <v>88</v>
      </c>
      <c r="E84" s="189" t="s">
        <v>125</v>
      </c>
      <c r="F84" s="189" t="s">
        <v>595</v>
      </c>
      <c r="G84" s="189" t="s">
        <v>595</v>
      </c>
      <c r="H84" s="189" t="s">
        <v>595</v>
      </c>
      <c r="I84" s="245" t="s">
        <v>414</v>
      </c>
      <c r="J84" s="246" t="s">
        <v>645</v>
      </c>
      <c r="K84" s="218"/>
      <c r="L84" s="267">
        <f>LEN(鍵盤設計表[[#This Row],[方音符號]])</f>
        <v>1</v>
      </c>
      <c r="M84" s="218"/>
      <c r="W84" s="219"/>
      <c r="X84" s="126"/>
      <c r="Y84" s="126"/>
    </row>
    <row r="85" spans="2:25" ht="32.25" customHeight="1">
      <c r="B85" s="197">
        <f xml:space="preserve"> ROW() - 4</f>
        <v>81</v>
      </c>
      <c r="C85" s="128" t="s">
        <v>575</v>
      </c>
      <c r="D85" s="173" t="s">
        <v>591</v>
      </c>
      <c r="E85" s="173" t="s">
        <v>235</v>
      </c>
      <c r="F85" s="173" t="s">
        <v>590</v>
      </c>
      <c r="G85" s="173" t="s">
        <v>590</v>
      </c>
      <c r="H85" s="173" t="s">
        <v>609</v>
      </c>
      <c r="I85" s="173" t="s">
        <v>414</v>
      </c>
      <c r="J85" s="208" t="s">
        <v>592</v>
      </c>
      <c r="K85" s="218"/>
      <c r="L85" s="267">
        <f>LEN(鍵盤設計表[[#This Row],[方音符號]])</f>
        <v>1</v>
      </c>
      <c r="M85" s="218"/>
      <c r="W85" s="219"/>
      <c r="X85" s="126"/>
      <c r="Y85" s="126"/>
    </row>
    <row r="86" spans="2:25" ht="32.25" customHeight="1">
      <c r="B86" s="198">
        <f xml:space="preserve"> ROW() - 4</f>
        <v>82</v>
      </c>
      <c r="C86" s="132" t="s">
        <v>574</v>
      </c>
      <c r="D86" s="194"/>
      <c r="E86" s="194"/>
      <c r="F86" s="194"/>
      <c r="G86" s="194"/>
      <c r="H86" s="194"/>
      <c r="I86" s="194"/>
      <c r="J86" s="210"/>
      <c r="K86" s="218"/>
      <c r="L86" s="267">
        <f>LEN(鍵盤設計表[[#This Row],[方音符號]])</f>
        <v>0</v>
      </c>
      <c r="M86" s="218"/>
      <c r="W86" s="219"/>
      <c r="X86" s="126"/>
      <c r="Y86" s="126"/>
    </row>
    <row r="87" spans="2:25" ht="32.25" customHeight="1">
      <c r="B87" s="198">
        <f xml:space="preserve"> ROW() - 4</f>
        <v>83</v>
      </c>
      <c r="C87" s="132" t="s">
        <v>251</v>
      </c>
      <c r="D87" s="194" t="s">
        <v>262</v>
      </c>
      <c r="E87" s="367">
        <v>7</v>
      </c>
      <c r="F87" s="175">
        <v>4</v>
      </c>
      <c r="G87" s="175">
        <v>4</v>
      </c>
      <c r="H87" s="367">
        <v>7</v>
      </c>
      <c r="I87" s="306" t="s">
        <v>392</v>
      </c>
      <c r="J87" s="209"/>
      <c r="K87" s="218"/>
      <c r="L87" s="267">
        <f>LEN(鍵盤設計表[[#This Row],[方音符號]])</f>
        <v>1</v>
      </c>
      <c r="M87" s="218"/>
      <c r="W87" s="219"/>
      <c r="X87" s="126"/>
      <c r="Y87" s="126"/>
    </row>
    <row r="88" spans="2:25" ht="32.25" customHeight="1">
      <c r="B88" s="198">
        <f xml:space="preserve"> ROW() - 4</f>
        <v>84</v>
      </c>
      <c r="C88" s="132" t="s">
        <v>246</v>
      </c>
      <c r="D88" s="194" t="str" cm="1">
        <f t="array" ref="D88" xml:space="preserve"> IFERROR( INDEX(AA$54:$AA88, MATCH(TRUE, EXACT($C88, $Y$5:$Y$54), 0)), "")</f>
        <v/>
      </c>
      <c r="E88" s="175" t="s">
        <v>540</v>
      </c>
      <c r="F88" s="175" t="s">
        <v>540</v>
      </c>
      <c r="G88" s="175" t="s">
        <v>540</v>
      </c>
      <c r="H88" s="175" t="s">
        <v>540</v>
      </c>
      <c r="I88" s="196"/>
      <c r="J88" s="209"/>
      <c r="K88" s="218"/>
      <c r="L88" s="267">
        <f>LEN(鍵盤設計表[[#This Row],[方音符號]])</f>
        <v>0</v>
      </c>
      <c r="M88" s="218"/>
      <c r="W88" s="219"/>
      <c r="X88" s="126"/>
      <c r="Y88" s="126"/>
    </row>
    <row r="89" spans="2:25" ht="32.25" customHeight="1">
      <c r="B89" s="198">
        <f xml:space="preserve"> ROW() - 4</f>
        <v>85</v>
      </c>
      <c r="C89" s="159" t="s">
        <v>258</v>
      </c>
      <c r="D89" s="194"/>
      <c r="E89" s="175"/>
      <c r="F89" s="175"/>
      <c r="G89" s="175"/>
      <c r="H89" s="175"/>
      <c r="I89" s="306"/>
      <c r="J89" s="209"/>
      <c r="K89" s="218"/>
      <c r="L89" s="267">
        <f>LEN(鍵盤設計表[[#This Row],[方音符號]])</f>
        <v>0</v>
      </c>
      <c r="M89" s="218"/>
      <c r="W89" s="219"/>
      <c r="X89" s="126"/>
      <c r="Y89" s="126"/>
    </row>
    <row r="90" spans="2:25" ht="32.25" customHeight="1">
      <c r="B90" s="200">
        <f xml:space="preserve"> ROW() - 4</f>
        <v>86</v>
      </c>
      <c r="C90" s="396" t="s">
        <v>259</v>
      </c>
      <c r="D90" s="177" t="str" cm="1">
        <f t="array" ref="D90" xml:space="preserve"> IFERROR( INDEX(AA$54:$AA90, MATCH(TRUE, EXACT($C90, $Y$5:$Y$54), 0)), "")</f>
        <v/>
      </c>
      <c r="E90" s="177" t="s">
        <v>540</v>
      </c>
      <c r="F90" s="177" t="s">
        <v>540</v>
      </c>
      <c r="G90" s="177" t="s">
        <v>540</v>
      </c>
      <c r="H90" s="177" t="s">
        <v>540</v>
      </c>
      <c r="I90" s="177"/>
      <c r="J90" s="211"/>
      <c r="K90" s="218"/>
      <c r="L90" s="267">
        <f>LEN(鍵盤設計表[[#This Row],[方音符號]])</f>
        <v>0</v>
      </c>
      <c r="M90" s="218"/>
      <c r="W90" s="219"/>
      <c r="X90" s="126"/>
      <c r="Y90" s="126"/>
    </row>
    <row r="91" spans="2:25" ht="32.25" customHeight="1">
      <c r="B91" s="393">
        <f xml:space="preserve"> ROW() - 4</f>
        <v>87</v>
      </c>
      <c r="C91" s="394" t="s">
        <v>260</v>
      </c>
      <c r="D91" s="395"/>
      <c r="E91" s="196"/>
      <c r="F91" s="196"/>
      <c r="G91" s="196"/>
      <c r="H91" s="196"/>
      <c r="I91" s="196"/>
      <c r="J91" s="212"/>
      <c r="K91" s="218"/>
      <c r="L91" s="267">
        <f>LEN(鍵盤設計表[[#This Row],[方音符號]])</f>
        <v>0</v>
      </c>
      <c r="M91" s="218"/>
      <c r="W91" s="219"/>
      <c r="X91" s="126"/>
      <c r="Y91" s="126"/>
    </row>
    <row r="92" spans="2:25" ht="32.25" customHeight="1">
      <c r="B92" s="197">
        <f xml:space="preserve"> ROW() - 4</f>
        <v>88</v>
      </c>
      <c r="C92" s="201" t="s">
        <v>261</v>
      </c>
      <c r="D92" s="194" t="str" cm="1">
        <f t="array" ref="D92" xml:space="preserve"> IFERROR( INDEX(AA$54:$AA92, MATCH(TRUE, EXACT($C92, $Y$5:$Y$54), 0)), "")</f>
        <v/>
      </c>
      <c r="E92" s="196" t="s">
        <v>540</v>
      </c>
      <c r="F92" s="196" t="s">
        <v>540</v>
      </c>
      <c r="G92" s="196" t="s">
        <v>540</v>
      </c>
      <c r="H92" s="196" t="s">
        <v>540</v>
      </c>
      <c r="I92" s="196"/>
      <c r="J92" s="212"/>
      <c r="K92" s="218"/>
      <c r="L92" s="267">
        <f>LEN(鍵盤設計表[[#This Row],[方音符號]])</f>
        <v>0</v>
      </c>
      <c r="M92" s="218"/>
      <c r="W92" s="219"/>
      <c r="X92" s="126"/>
      <c r="Y92" s="126"/>
    </row>
    <row r="93" spans="2:25" ht="32.25" customHeight="1">
      <c r="B93" s="198">
        <f xml:space="preserve"> ROW() - 4</f>
        <v>89</v>
      </c>
      <c r="C93" s="132" t="s">
        <v>248</v>
      </c>
      <c r="D93" s="194" t="s">
        <v>665</v>
      </c>
      <c r="E93" s="367">
        <v>8</v>
      </c>
      <c r="F93" s="175">
        <v>8</v>
      </c>
      <c r="G93" s="175">
        <v>8</v>
      </c>
      <c r="H93" s="367">
        <v>8</v>
      </c>
      <c r="I93" s="306" t="s">
        <v>392</v>
      </c>
      <c r="J93" s="209"/>
      <c r="K93" s="218"/>
      <c r="L93" s="267">
        <f>LEN(鍵盤設計表[[#This Row],[方音符號]])</f>
        <v>1</v>
      </c>
      <c r="M93" s="218"/>
      <c r="W93" s="219"/>
      <c r="X93" s="126"/>
      <c r="Y93" s="126"/>
    </row>
    <row r="94" spans="2:25" ht="32.25" customHeight="1">
      <c r="B94" s="199">
        <f xml:space="preserve"> ROW() - 4</f>
        <v>90</v>
      </c>
      <c r="C94" s="195" t="s">
        <v>244</v>
      </c>
      <c r="D94" s="194" t="str" cm="1">
        <f t="array" ref="D94" xml:space="preserve"> IFERROR( INDEX(AA$54:$AA94, MATCH(TRUE, EXACT($C94, $Y$5:$Y$54), 0)), "")</f>
        <v/>
      </c>
      <c r="E94" s="194" t="s">
        <v>540</v>
      </c>
      <c r="F94" s="194" t="s">
        <v>540</v>
      </c>
      <c r="G94" s="194" t="s">
        <v>540</v>
      </c>
      <c r="H94" s="194" t="s">
        <v>540</v>
      </c>
      <c r="I94" s="194"/>
      <c r="J94" s="210"/>
      <c r="K94" s="218"/>
      <c r="L94" s="267">
        <f>LEN(鍵盤設計表[[#This Row],[方音符號]])</f>
        <v>0</v>
      </c>
      <c r="M94" s="218"/>
      <c r="W94" s="219"/>
      <c r="X94" s="126"/>
      <c r="Y94" s="126"/>
    </row>
    <row r="96" spans="2:25">
      <c r="M96" s="266">
        <f>SUM(L5:L94)</f>
        <v>60</v>
      </c>
    </row>
    <row r="97" spans="12:13" ht="34.5" customHeight="1"/>
    <row r="98" spans="12:13" ht="34.5" customHeight="1"/>
    <row r="99" spans="12:13" ht="34.5" customHeight="1"/>
    <row r="100" spans="12:13" ht="34.5" customHeight="1"/>
    <row r="101" spans="12:13" ht="34.5" customHeight="1"/>
    <row r="102" spans="12:13" ht="34.5" customHeight="1">
      <c r="L102" s="210"/>
      <c r="M102" s="268"/>
    </row>
  </sheetData>
  <sortState xmlns:xlrd2="http://schemas.microsoft.com/office/spreadsheetml/2017/richdata2" ref="N5:V59">
    <sortCondition ref="N5:N59"/>
  </sortState>
  <phoneticPr fontId="7" type="noConversion"/>
  <conditionalFormatting sqref="B5:J27 W5:W94 B28:C28 B29:J59 B60:C60 B61:J71 B72:C72 B76:C76 B77:J82 B83:C83 L102:M102 B84:J94 B73:J75">
    <cfRule type="cellIs" dxfId="16" priority="6" operator="equal">
      <formula>CHAR(32)</formula>
    </cfRule>
  </conditionalFormatting>
  <conditionalFormatting sqref="Y55">
    <cfRule type="cellIs" dxfId="15" priority="4" operator="equal">
      <formula>CHAR(32)</formula>
    </cfRule>
  </conditionalFormatting>
  <conditionalFormatting sqref="AD5:AH14">
    <cfRule type="cellIs" dxfId="14" priority="5" operator="equal">
      <formula>CHAR(32)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EAFA-353C-4DDC-BB0A-B841D8B8198D}">
  <dimension ref="B1:X102"/>
  <sheetViews>
    <sheetView workbookViewId="0">
      <pane ySplit="2" topLeftCell="A3" activePane="bottomLeft" state="frozen"/>
      <selection pane="bottomLeft" activeCell="L62" sqref="L62:T65"/>
    </sheetView>
  </sheetViews>
  <sheetFormatPr defaultRowHeight="23.25"/>
  <cols>
    <col min="2" max="2" width="6.3984375" style="2" customWidth="1"/>
    <col min="3" max="3" width="10.69921875" customWidth="1"/>
    <col min="4" max="4" width="12.296875" customWidth="1"/>
    <col min="5" max="5" width="12.59765625" style="304" customWidth="1"/>
    <col min="6" max="6" width="12.59765625" customWidth="1"/>
    <col min="7" max="7" width="12.59765625" style="89" customWidth="1"/>
    <col min="8" max="8" width="12.59765625" style="6" customWidth="1"/>
    <col min="9" max="9" width="12.59765625" customWidth="1"/>
    <col min="10" max="10" width="12.59765625" style="93" customWidth="1"/>
    <col min="11" max="11" width="15.3984375" customWidth="1"/>
    <col min="12" max="14" width="11" style="89" customWidth="1"/>
    <col min="15" max="17" width="11" customWidth="1"/>
    <col min="18" max="19" width="11" style="89" customWidth="1"/>
    <col min="21" max="21" width="10.59765625" style="6" customWidth="1"/>
    <col min="24" max="24" width="10.59765625" style="88" customWidth="1"/>
    <col min="28" max="33" width="9.69921875" customWidth="1"/>
  </cols>
  <sheetData>
    <row r="1" spans="2:24" ht="32.25">
      <c r="B1" s="4" t="s">
        <v>0</v>
      </c>
      <c r="D1" s="13"/>
      <c r="E1" s="13"/>
      <c r="F1" s="13"/>
      <c r="G1" s="5"/>
      <c r="H1" s="5"/>
      <c r="I1" s="12"/>
      <c r="J1"/>
      <c r="L1"/>
      <c r="M1"/>
      <c r="N1"/>
      <c r="R1"/>
      <c r="S1"/>
      <c r="U1"/>
      <c r="X1"/>
    </row>
    <row r="2" spans="2:24" thickBot="1">
      <c r="B2" s="314" t="s">
        <v>4</v>
      </c>
      <c r="C2" s="318" t="s">
        <v>7</v>
      </c>
      <c r="D2" s="376" t="s">
        <v>190</v>
      </c>
      <c r="E2" s="317" t="s">
        <v>6</v>
      </c>
      <c r="F2" s="316" t="s">
        <v>179</v>
      </c>
      <c r="G2" s="316" t="s">
        <v>191</v>
      </c>
      <c r="H2" s="315" t="s">
        <v>373</v>
      </c>
      <c r="I2" s="315" t="s">
        <v>627</v>
      </c>
      <c r="J2" s="368" t="s">
        <v>544</v>
      </c>
      <c r="L2"/>
      <c r="M2"/>
      <c r="N2"/>
      <c r="O2" s="89"/>
      <c r="R2"/>
      <c r="S2"/>
      <c r="U2"/>
      <c r="X2"/>
    </row>
    <row r="3" spans="2:24" ht="33" thickTop="1">
      <c r="B3" s="312">
        <f>ROW() - 2</f>
        <v>1</v>
      </c>
      <c r="C3" s="8" t="s">
        <v>174</v>
      </c>
      <c r="D3" s="371" t="s">
        <v>56</v>
      </c>
      <c r="E3" s="91" t="s">
        <v>95</v>
      </c>
      <c r="F3" s="305" t="s">
        <v>57</v>
      </c>
      <c r="G3" s="397" t="str" cm="1">
        <f t="array" ref="G3">IFERROR( INDEX(鍵盤設計表[台語音標], MATCH(TRUE, EXACT(注音編碼對照表[[#This Row],[方音符號]], 鍵盤設計表[方音符號]),0)), "")</f>
        <v>m</v>
      </c>
      <c r="H3" s="96" t="str" cm="1">
        <f t="array" ref="H3">IFERROR( INDEX(鍵盤設計表[注音二式], MATCH(TRUE, EXACT(注音編碼對照表[[#This Row],[方音符號]], 鍵盤設計表[方音符號]),0)),"")</f>
        <v>m</v>
      </c>
      <c r="I3" s="96" t="str" cm="1">
        <f t="array" ref="I3">IFERROR( INDEX(鍵盤設計表[閩拼方案], MATCH(TRUE, EXACT(注音編碼對照表[[#This Row],[方音符號]], 鍵盤設計表[方音符號]),0)), "")</f>
        <v>bbn</v>
      </c>
      <c r="J3" s="369" t="str" cm="1">
        <f t="array" ref="J3">IFERROR( INDEX(鍵盤設計表[聲韻調], MATCH(TRUE, EXACT(注音編碼對照表[[#This Row],[方音符號]], 鍵盤設計表[方音符號]),0)), "")</f>
        <v>聲</v>
      </c>
      <c r="L3"/>
      <c r="M3"/>
      <c r="N3"/>
      <c r="O3" s="89"/>
      <c r="R3"/>
      <c r="S3"/>
      <c r="U3"/>
      <c r="X3"/>
    </row>
    <row r="4" spans="2:24" ht="32.25">
      <c r="B4" s="313">
        <f>ROW() - 2</f>
        <v>2</v>
      </c>
      <c r="C4" s="8" t="s">
        <v>194</v>
      </c>
      <c r="D4" s="372" t="s">
        <v>12</v>
      </c>
      <c r="E4" s="91" t="s">
        <v>96</v>
      </c>
      <c r="F4" s="296" t="s">
        <v>13</v>
      </c>
      <c r="G4" s="397" t="str" cm="1">
        <f t="array" ref="G4">IFERROR( INDEX(鍵盤設計表[台語音標], MATCH(TRUE, EXACT(注音編碼對照表[[#This Row],[方音符號]], 鍵盤設計表[方音符號]),0)), "")</f>
        <v>b</v>
      </c>
      <c r="H4" s="96" t="str" cm="1">
        <f t="array" ref="H4">IFERROR( INDEX(鍵盤設計表[注音二式], MATCH(TRUE, EXACT(注音編碼對照表[[#This Row],[方音符號]], 鍵盤設計表[方音符號]),0)),"")</f>
        <v>bb</v>
      </c>
      <c r="I4" s="96" t="str" cm="1">
        <f t="array" ref="I4">IFERROR( INDEX(鍵盤設計表[閩拼方案], MATCH(TRUE, EXACT(注音編碼對照表[[#This Row],[方音符號]], 鍵盤設計表[方音符號]),0)), "")</f>
        <v>bb</v>
      </c>
      <c r="J4" s="369" t="str" cm="1">
        <f t="array" ref="J4">IFERROR( INDEX(鍵盤設計表[聲韻調], MATCH(TRUE, EXACT(注音編碼對照表[[#This Row],[方音符號]], 鍵盤設計表[方音符號]),0)), "")</f>
        <v>聲</v>
      </c>
      <c r="L4"/>
      <c r="M4"/>
      <c r="N4"/>
      <c r="O4" s="89"/>
      <c r="R4"/>
      <c r="S4"/>
      <c r="U4"/>
      <c r="X4"/>
    </row>
    <row r="5" spans="2:24" ht="32.25">
      <c r="B5" s="312">
        <f>ROW() - 2</f>
        <v>3</v>
      </c>
      <c r="C5" s="8" t="s">
        <v>178</v>
      </c>
      <c r="D5" s="371" t="s">
        <v>8</v>
      </c>
      <c r="E5" s="91" t="s">
        <v>109</v>
      </c>
      <c r="F5" s="305" t="s">
        <v>9</v>
      </c>
      <c r="G5" s="397" t="str" cm="1">
        <f t="array" ref="G5">IFERROR( INDEX(鍵盤設計表[台語音標], MATCH(TRUE, EXACT(注音編碼對照表[[#This Row],[方音符號]], 鍵盤設計表[方音符號]),0)), "")</f>
        <v>p</v>
      </c>
      <c r="H5" s="96" t="str" cm="1">
        <f t="array" ref="H5">IFERROR( INDEX(鍵盤設計表[注音二式], MATCH(TRUE, EXACT(注音編碼對照表[[#This Row],[方音符號]], 鍵盤設計表[方音符號]),0)),"")</f>
        <v>b</v>
      </c>
      <c r="I5" s="96" t="str" cm="1">
        <f t="array" ref="I5">IFERROR( INDEX(鍵盤設計表[閩拼方案], MATCH(TRUE, EXACT(注音編碼對照表[[#This Row],[方音符號]], 鍵盤設計表[方音符號]),0)), "")</f>
        <v>b</v>
      </c>
      <c r="J5" s="369" t="str" cm="1">
        <f t="array" ref="J5">IFERROR( INDEX(鍵盤設計表[聲韻調], MATCH(TRUE, EXACT(注音編碼對照表[[#This Row],[方音符號]], 鍵盤設計表[方音符號]),0)), "")</f>
        <v>聲</v>
      </c>
      <c r="L5"/>
      <c r="M5"/>
      <c r="N5"/>
      <c r="O5" s="89"/>
      <c r="R5"/>
      <c r="S5"/>
      <c r="U5"/>
      <c r="X5"/>
    </row>
    <row r="6" spans="2:24" ht="32.25">
      <c r="B6" s="312">
        <f>ROW() - 2</f>
        <v>4</v>
      </c>
      <c r="C6" s="8" t="s">
        <v>175</v>
      </c>
      <c r="D6" s="371" t="s">
        <v>10</v>
      </c>
      <c r="E6" s="91" t="s">
        <v>119</v>
      </c>
      <c r="F6" s="305" t="s">
        <v>343</v>
      </c>
      <c r="G6" s="397" t="str" cm="1">
        <f t="array" ref="G6">IFERROR( INDEX(鍵盤設計表[台語音標], MATCH(TRUE, EXACT(注音編碼對照表[[#This Row],[方音符號]], 鍵盤設計表[方音符號]),0)), "")</f>
        <v>ph</v>
      </c>
      <c r="H6" s="96" t="str" cm="1">
        <f t="array" ref="H6">IFERROR( INDEX(鍵盤設計表[注音二式], MATCH(TRUE, EXACT(注音編碼對照表[[#This Row],[方音符號]], 鍵盤設計表[方音符號]),0)),"")</f>
        <v>p</v>
      </c>
      <c r="I6" s="96" t="str" cm="1">
        <f t="array" ref="I6">IFERROR( INDEX(鍵盤設計表[閩拼方案], MATCH(TRUE, EXACT(注音編碼對照表[[#This Row],[方音符號]], 鍵盤設計表[方音符號]),0)), "")</f>
        <v>p</v>
      </c>
      <c r="J6" s="369" t="str" cm="1">
        <f t="array" ref="J6">IFERROR( INDEX(鍵盤設計表[聲韻調], MATCH(TRUE, EXACT(注音編碼對照表[[#This Row],[方音符號]], 鍵盤設計表[方音符號]),0)), "")</f>
        <v>聲</v>
      </c>
      <c r="L6"/>
      <c r="M6"/>
      <c r="N6"/>
      <c r="O6" s="89"/>
      <c r="R6"/>
      <c r="S6"/>
      <c r="U6"/>
      <c r="X6"/>
    </row>
    <row r="7" spans="2:24" ht="32.25">
      <c r="B7" s="312">
        <f>ROW() - 2</f>
        <v>5</v>
      </c>
      <c r="C7" s="8" t="s">
        <v>167</v>
      </c>
      <c r="D7" s="371" t="s">
        <v>18</v>
      </c>
      <c r="E7" s="91" t="s">
        <v>19</v>
      </c>
      <c r="F7" s="305" t="s">
        <v>186</v>
      </c>
      <c r="G7" s="397" t="str" cm="1">
        <f t="array" ref="G7">IFERROR( INDEX(鍵盤設計表[台語音標], MATCH(TRUE, EXACT(注音編碼對照表[[#This Row],[方音符號]], 鍵盤設計表[方音符號]),0)), "")</f>
        <v>n</v>
      </c>
      <c r="H7" s="96" t="str" cm="1">
        <f t="array" ref="H7">IFERROR( INDEX(鍵盤設計表[注音二式], MATCH(TRUE, EXACT(注音編碼對照表[[#This Row],[方音符號]], 鍵盤設計表[方音符號]),0)),"")</f>
        <v>n</v>
      </c>
      <c r="I7" s="96" t="str" cm="1">
        <f t="array" ref="I7">IFERROR( INDEX(鍵盤設計表[閩拼方案], MATCH(TRUE, EXACT(注音編碼對照表[[#This Row],[方音符號]], 鍵盤設計表[方音符號]),0)), "")</f>
        <v>ln</v>
      </c>
      <c r="J7" s="369" t="str" cm="1">
        <f t="array" ref="J7">IFERROR( INDEX(鍵盤設計表[聲韻調], MATCH(TRUE, EXACT(注音編碼對照表[[#This Row],[方音符號]], 鍵盤設計表[方音符號]),0)), "")</f>
        <v>聲</v>
      </c>
      <c r="L7"/>
      <c r="M7"/>
      <c r="N7"/>
      <c r="O7" s="89"/>
      <c r="R7"/>
      <c r="S7"/>
      <c r="U7"/>
      <c r="X7"/>
    </row>
    <row r="8" spans="2:24" ht="32.25">
      <c r="B8" s="312">
        <f>ROW() - 2</f>
        <v>6</v>
      </c>
      <c r="C8" s="8" t="s">
        <v>172</v>
      </c>
      <c r="D8" s="371" t="s">
        <v>14</v>
      </c>
      <c r="E8" s="91" t="s">
        <v>156</v>
      </c>
      <c r="F8" s="305" t="s">
        <v>168</v>
      </c>
      <c r="G8" s="397" t="str" cm="1">
        <f t="array" ref="G8">IFERROR( INDEX(鍵盤設計表[台語音標], MATCH(TRUE, EXACT(注音編碼對照表[[#This Row],[方音符號]], 鍵盤設計表[方音符號]),0)), "")</f>
        <v>t</v>
      </c>
      <c r="H8" s="96" t="str" cm="1">
        <f t="array" ref="H8">IFERROR( INDEX(鍵盤設計表[注音二式], MATCH(TRUE, EXACT(注音編碼對照表[[#This Row],[方音符號]], 鍵盤設計表[方音符號]),0)),"")</f>
        <v>d</v>
      </c>
      <c r="I8" s="96" t="str" cm="1">
        <f t="array" ref="I8">IFERROR( INDEX(鍵盤設計表[閩拼方案], MATCH(TRUE, EXACT(注音編碼對照表[[#This Row],[方音符號]], 鍵盤設計表[方音符號]),0)), "")</f>
        <v>d</v>
      </c>
      <c r="J8" s="369" t="str" cm="1">
        <f t="array" ref="J8">IFERROR( INDEX(鍵盤設計表[聲韻調], MATCH(TRUE, EXACT(注音編碼對照表[[#This Row],[方音符號]], 鍵盤設計表[方音符號]),0)), "")</f>
        <v>聲</v>
      </c>
      <c r="L8"/>
      <c r="M8"/>
      <c r="N8"/>
      <c r="O8" s="89"/>
      <c r="R8"/>
      <c r="S8"/>
      <c r="U8"/>
      <c r="X8"/>
    </row>
    <row r="9" spans="2:24" ht="32.25">
      <c r="B9" s="312">
        <f>ROW() - 2</f>
        <v>7</v>
      </c>
      <c r="C9" s="8" t="s">
        <v>169</v>
      </c>
      <c r="D9" s="371" t="s">
        <v>16</v>
      </c>
      <c r="E9" s="91" t="s">
        <v>15</v>
      </c>
      <c r="F9" s="305" t="s">
        <v>344</v>
      </c>
      <c r="G9" s="397" t="str" cm="1">
        <f t="array" ref="G9">IFERROR( INDEX(鍵盤設計表[台語音標], MATCH(TRUE, EXACT(注音編碼對照表[[#This Row],[方音符號]], 鍵盤設計表[方音符號]),0)), "")</f>
        <v>th</v>
      </c>
      <c r="H9" s="96" t="str" cm="1">
        <f t="array" ref="H9">IFERROR( INDEX(鍵盤設計表[注音二式], MATCH(TRUE, EXACT(注音編碼對照表[[#This Row],[方音符號]], 鍵盤設計表[方音符號]),0)),"")</f>
        <v>t</v>
      </c>
      <c r="I9" s="96" t="str" cm="1">
        <f t="array" ref="I9">IFERROR( INDEX(鍵盤設計表[閩拼方案], MATCH(TRUE, EXACT(注音編碼對照表[[#This Row],[方音符號]], 鍵盤設計表[方音符號]),0)), "")</f>
        <v>t</v>
      </c>
      <c r="J9" s="369" t="str" cm="1">
        <f t="array" ref="J9">IFERROR( INDEX(鍵盤設計表[聲韻調], MATCH(TRUE, EXACT(注音編碼對照表[[#This Row],[方音符號]], 鍵盤設計表[方音符號]),0)), "")</f>
        <v>聲</v>
      </c>
      <c r="L9"/>
      <c r="M9"/>
      <c r="N9"/>
      <c r="O9" s="89"/>
      <c r="R9"/>
      <c r="S9"/>
      <c r="U9"/>
      <c r="X9"/>
    </row>
    <row r="10" spans="2:24" ht="32.25">
      <c r="B10" s="312">
        <f>ROW() - 2</f>
        <v>8</v>
      </c>
      <c r="C10" s="8" t="s">
        <v>164</v>
      </c>
      <c r="D10" s="371" t="s">
        <v>58</v>
      </c>
      <c r="E10" s="91" t="s">
        <v>59</v>
      </c>
      <c r="F10" s="305" t="s">
        <v>240</v>
      </c>
      <c r="G10" s="397" t="str" cm="1">
        <f t="array" ref="G10">IFERROR( INDEX(鍵盤設計表[台語音標], MATCH(TRUE, EXACT(注音編碼對照表[[#This Row],[方音符號]], 鍵盤設計表[方音符號]),0)), "")</f>
        <v>l</v>
      </c>
      <c r="H10" s="96" t="str" cm="1">
        <f t="array" ref="H10">IFERROR( INDEX(鍵盤設計表[注音二式], MATCH(TRUE, EXACT(注音編碼對照表[[#This Row],[方音符號]], 鍵盤設計表[方音符號]),0)),"")</f>
        <v>l</v>
      </c>
      <c r="I10" s="96" t="str" cm="1">
        <f t="array" ref="I10">IFERROR( INDEX(鍵盤設計表[閩拼方案], MATCH(TRUE, EXACT(注音編碼對照表[[#This Row],[方音符號]], 鍵盤設計表[方音符號]),0)), "")</f>
        <v>l</v>
      </c>
      <c r="J10" s="369" t="str" cm="1">
        <f t="array" ref="J10">IFERROR( INDEX(鍵盤設計表[聲韻調], MATCH(TRUE, EXACT(注音編碼對照表[[#This Row],[方音符號]], 鍵盤設計表[方音符號]),0)), "")</f>
        <v>聲</v>
      </c>
      <c r="L10"/>
      <c r="M10"/>
      <c r="N10"/>
      <c r="O10" s="89"/>
      <c r="R10"/>
      <c r="S10"/>
      <c r="U10"/>
      <c r="X10"/>
    </row>
    <row r="11" spans="2:24" ht="32.25">
      <c r="B11" s="312">
        <f>ROW() - 2</f>
        <v>9</v>
      </c>
      <c r="C11" s="8" t="s">
        <v>293</v>
      </c>
      <c r="D11" s="373" t="s">
        <v>323</v>
      </c>
      <c r="E11" s="343" t="s">
        <v>428</v>
      </c>
      <c r="F11" s="305" t="s">
        <v>346</v>
      </c>
      <c r="G11" s="397" t="str" cm="1">
        <f t="array" ref="G11">IFERROR( INDEX(鍵盤設計表[台語音標], MATCH(TRUE, EXACT(注音編碼對照表[[#This Row],[方音符號]], 鍵盤設計表[方音符號]),0)), "")</f>
        <v>ng</v>
      </c>
      <c r="H11" s="96" t="str" cm="1">
        <f t="array" ref="H11">IFERROR( INDEX(鍵盤設計表[注音二式], MATCH(TRUE, EXACT(注音編碼對照表[[#This Row],[方音符號]], 鍵盤設計表[方音符號]),0)),"")</f>
        <v>ng</v>
      </c>
      <c r="I11" s="96" t="str" cm="1">
        <f t="array" ref="I11">IFERROR( INDEX(鍵盤設計表[閩拼方案], MATCH(TRUE, EXACT(注音編碼對照表[[#This Row],[方音符號]], 鍵盤設計表[方音符號]),0)), "")</f>
        <v>ggn</v>
      </c>
      <c r="J11" s="369" t="str" cm="1">
        <f t="array" ref="J11">IFERROR( INDEX(鍵盤設計表[聲韻調], MATCH(TRUE, EXACT(注音編碼對照表[[#This Row],[方音符號]], 鍵盤設計表[方音符號]),0)), "")</f>
        <v>聲</v>
      </c>
      <c r="L11"/>
      <c r="M11"/>
      <c r="N11"/>
      <c r="R11"/>
      <c r="S11"/>
      <c r="U11"/>
      <c r="X11"/>
    </row>
    <row r="12" spans="2:24" ht="32.25">
      <c r="B12" s="312">
        <f>ROW() - 2</f>
        <v>10</v>
      </c>
      <c r="C12" s="8" t="s">
        <v>159</v>
      </c>
      <c r="D12" s="371" t="s">
        <v>23</v>
      </c>
      <c r="E12" s="343" t="s">
        <v>220</v>
      </c>
      <c r="F12" s="305" t="s">
        <v>24</v>
      </c>
      <c r="G12" s="397" t="str" cm="1">
        <f t="array" ref="G12">IFERROR( INDEX(鍵盤設計表[台語音標], MATCH(TRUE, EXACT(注音編碼對照表[[#This Row],[方音符號]], 鍵盤設計表[方音符號]),0)), "")</f>
        <v>g</v>
      </c>
      <c r="H12" s="96" t="str" cm="1">
        <f t="array" ref="H12">IFERROR( INDEX(鍵盤設計表[注音二式], MATCH(TRUE, EXACT(注音編碼對照表[[#This Row],[方音符號]], 鍵盤設計表[方音符號]),0)),"")</f>
        <v>gg</v>
      </c>
      <c r="I12" s="96" t="str" cm="1">
        <f t="array" ref="I12">IFERROR( INDEX(鍵盤設計表[閩拼方案], MATCH(TRUE, EXACT(注音編碼對照表[[#This Row],[方音符號]], 鍵盤設計表[方音符號]),0)), "")</f>
        <v>gg</v>
      </c>
      <c r="J12" s="369" t="str" cm="1">
        <f t="array" ref="J12">IFERROR( INDEX(鍵盤設計表[聲韻調], MATCH(TRUE, EXACT(注音編碼對照表[[#This Row],[方音符號]], 鍵盤設計表[方音符號]),0)), "")</f>
        <v>聲</v>
      </c>
      <c r="L12"/>
      <c r="M12"/>
      <c r="N12"/>
      <c r="R12"/>
      <c r="S12"/>
      <c r="U12"/>
      <c r="X12"/>
    </row>
    <row r="13" spans="2:24" ht="32.25">
      <c r="B13" s="312">
        <f>ROW() - 2</f>
        <v>11</v>
      </c>
      <c r="C13" s="8" t="s">
        <v>162</v>
      </c>
      <c r="D13" s="371" t="s">
        <v>20</v>
      </c>
      <c r="E13" s="91" t="s">
        <v>107</v>
      </c>
      <c r="F13" s="305" t="s">
        <v>158</v>
      </c>
      <c r="G13" s="397" t="str" cm="1">
        <f t="array" ref="G13">IFERROR( INDEX(鍵盤設計表[台語音標], MATCH(TRUE, EXACT(注音編碼對照表[[#This Row],[方音符號]], 鍵盤設計表[方音符號]),0)), "")</f>
        <v>k</v>
      </c>
      <c r="H13" s="96" t="str" cm="1">
        <f t="array" ref="H13">IFERROR( INDEX(鍵盤設計表[注音二式], MATCH(TRUE, EXACT(注音編碼對照表[[#This Row],[方音符號]], 鍵盤設計表[方音符號]),0)),"")</f>
        <v>g</v>
      </c>
      <c r="I13" s="96" t="str" cm="1">
        <f t="array" ref="I13">IFERROR( INDEX(鍵盤設計表[閩拼方案], MATCH(TRUE, EXACT(注音編碼對照表[[#This Row],[方音符號]], 鍵盤設計表[方音符號]),0)), "")</f>
        <v>g</v>
      </c>
      <c r="J13" s="369" t="str" cm="1">
        <f t="array" ref="J13">IFERROR( INDEX(鍵盤設計表[聲韻調], MATCH(TRUE, EXACT(注音編碼對照表[[#This Row],[方音符號]], 鍵盤設計表[方音符號]),0)), "")</f>
        <v>聲</v>
      </c>
      <c r="L13"/>
      <c r="M13"/>
      <c r="N13"/>
      <c r="R13"/>
      <c r="S13"/>
      <c r="U13"/>
      <c r="X13"/>
    </row>
    <row r="14" spans="2:24" ht="32.25">
      <c r="B14" s="312">
        <f>ROW() - 2</f>
        <v>12</v>
      </c>
      <c r="C14" s="8" t="s">
        <v>156</v>
      </c>
      <c r="D14" s="371" t="s">
        <v>22</v>
      </c>
      <c r="E14" s="91" t="s">
        <v>21</v>
      </c>
      <c r="F14" s="305" t="s">
        <v>345</v>
      </c>
      <c r="G14" s="397" t="str" cm="1">
        <f t="array" ref="G14">IFERROR( INDEX(鍵盤設計表[台語音標], MATCH(TRUE, EXACT(注音編碼對照表[[#This Row],[方音符號]], 鍵盤設計表[方音符號]),0)), "")</f>
        <v>kh</v>
      </c>
      <c r="H14" s="96" t="str" cm="1">
        <f t="array" ref="H14">IFERROR( INDEX(鍵盤設計表[注音二式], MATCH(TRUE, EXACT(注音編碼對照表[[#This Row],[方音符號]], 鍵盤設計表[方音符號]),0)),"")</f>
        <v>k</v>
      </c>
      <c r="I14" s="96" t="str" cm="1">
        <f t="array" ref="I14">IFERROR( INDEX(鍵盤設計表[閩拼方案], MATCH(TRUE, EXACT(注音編碼對照表[[#This Row],[方音符號]], 鍵盤設計表[方音符號]),0)), "")</f>
        <v>k</v>
      </c>
      <c r="J14" s="369" t="str" cm="1">
        <f t="array" ref="J14">IFERROR( INDEX(鍵盤設計表[聲韻調], MATCH(TRUE, EXACT(注音編碼對照表[[#This Row],[方音符號]], 鍵盤設計表[方音符號]),0)), "")</f>
        <v>聲</v>
      </c>
      <c r="L14"/>
      <c r="M14"/>
      <c r="N14"/>
      <c r="R14"/>
      <c r="S14"/>
      <c r="U14"/>
      <c r="X14"/>
    </row>
    <row r="15" spans="2:24" ht="32.25">
      <c r="B15" s="312">
        <f>ROW() - 2</f>
        <v>13</v>
      </c>
      <c r="C15" s="8" t="s">
        <v>223</v>
      </c>
      <c r="D15" s="371" t="s">
        <v>219</v>
      </c>
      <c r="E15" s="91" t="s">
        <v>224</v>
      </c>
      <c r="F15" s="305" t="s">
        <v>342</v>
      </c>
      <c r="G15" s="397" t="str" cm="1">
        <f t="array" ref="G15">IFERROR( INDEX(鍵盤設計表[台語音標], MATCH(TRUE, EXACT(注音編碼對照表[[#This Row],[方音符號]], 鍵盤設計表[方音符號]),0)), "")</f>
        <v>j</v>
      </c>
      <c r="H15" s="96" t="str" cm="1">
        <f t="array" ref="H15">IFERROR( INDEX(鍵盤設計表[注音二式], MATCH(TRUE, EXACT(注音編碼對照表[[#This Row],[方音符號]], 鍵盤設計表[方音符號]),0)),"")</f>
        <v>zz</v>
      </c>
      <c r="I15" s="96" t="str" cm="1">
        <f t="array" ref="I15">IFERROR( INDEX(鍵盤設計表[閩拼方案], MATCH(TRUE, EXACT(注音編碼對照表[[#This Row],[方音符號]], 鍵盤設計表[方音符號]),0)), "")</f>
        <v>zz</v>
      </c>
      <c r="J15" s="369" t="str" cm="1">
        <f t="array" ref="J15">IFERROR( INDEX(鍵盤設計表[聲韻調], MATCH(TRUE, EXACT(注音編碼對照表[[#This Row],[方音符號]], 鍵盤設計表[方音符號]),0)), "")</f>
        <v>聲</v>
      </c>
      <c r="L15"/>
      <c r="M15"/>
      <c r="N15"/>
      <c r="R15"/>
      <c r="S15"/>
      <c r="U15"/>
      <c r="X15"/>
    </row>
    <row r="16" spans="2:24" ht="32.25">
      <c r="B16" s="312">
        <f>ROW() - 2</f>
        <v>14</v>
      </c>
      <c r="C16" s="8" t="s">
        <v>303</v>
      </c>
      <c r="D16" s="373" t="s">
        <v>25</v>
      </c>
      <c r="E16" s="91" t="s">
        <v>106</v>
      </c>
      <c r="F16" s="305" t="s">
        <v>341</v>
      </c>
      <c r="G16" s="397" t="str" cm="1">
        <f t="array" ref="G16">IFERROR( INDEX(鍵盤設計表[台語音標], MATCH(TRUE, EXACT(注音編碼對照表[[#This Row],[方音符號]], 鍵盤設計表[方音符號]),0)), "")</f>
        <v>z</v>
      </c>
      <c r="H16" s="96" t="str" cm="1">
        <f t="array" ref="H16">IFERROR( INDEX(鍵盤設計表[注音二式], MATCH(TRUE, EXACT(注音編碼對照表[[#This Row],[方音符號]], 鍵盤設計表[方音符號]),0)),"")</f>
        <v>z</v>
      </c>
      <c r="I16" s="96" t="str" cm="1">
        <f t="array" ref="I16">IFERROR( INDEX(鍵盤設計表[閩拼方案], MATCH(TRUE, EXACT(注音編碼對照表[[#This Row],[方音符號]], 鍵盤設計表[方音符號]),0)), "")</f>
        <v>z</v>
      </c>
      <c r="J16" s="369" t="str" cm="1">
        <f t="array" ref="J16">IFERROR( INDEX(鍵盤設計表[聲韻調], MATCH(TRUE, EXACT(注音編碼對照表[[#This Row],[方音符號]], 鍵盤設計表[方音符號]),0)), "")</f>
        <v>聲</v>
      </c>
      <c r="L16"/>
      <c r="M16"/>
      <c r="N16"/>
      <c r="R16"/>
      <c r="S16"/>
      <c r="U16"/>
      <c r="X16"/>
    </row>
    <row r="17" spans="2:24" ht="32.25">
      <c r="B17" s="312">
        <f>ROW() - 2</f>
        <v>15</v>
      </c>
      <c r="C17" s="8" t="s">
        <v>208</v>
      </c>
      <c r="D17" s="373" t="s">
        <v>27</v>
      </c>
      <c r="E17" s="91" t="s">
        <v>152</v>
      </c>
      <c r="F17" s="305" t="s">
        <v>340</v>
      </c>
      <c r="G17" s="397" t="str" cm="1">
        <f t="array" ref="G17">IFERROR( INDEX(鍵盤設計表[台語音標], MATCH(TRUE, EXACT(注音編碼對照表[[#This Row],[方音符號]], 鍵盤設計表[方音符號]),0)), "")</f>
        <v>c</v>
      </c>
      <c r="H17" s="96" t="str" cm="1">
        <f t="array" ref="H17">IFERROR( INDEX(鍵盤設計表[注音二式], MATCH(TRUE, EXACT(注音編碼對照表[[#This Row],[方音符號]], 鍵盤設計表[方音符號]),0)),"")</f>
        <v>c</v>
      </c>
      <c r="I17" s="96" t="str" cm="1">
        <f t="array" ref="I17">IFERROR( INDEX(鍵盤設計表[閩拼方案], MATCH(TRUE, EXACT(注音編碼對照表[[#This Row],[方音符號]], 鍵盤設計表[方音符號]),0)), "")</f>
        <v>c</v>
      </c>
      <c r="J17" s="369" t="str" cm="1">
        <f t="array" ref="J17">IFERROR( INDEX(鍵盤設計表[聲韻調], MATCH(TRUE, EXACT(注音編碼對照表[[#This Row],[方音符號]], 鍵盤設計表[方音符號]),0)), "")</f>
        <v>聲</v>
      </c>
      <c r="L17"/>
      <c r="M17"/>
      <c r="N17"/>
      <c r="R17"/>
      <c r="S17"/>
      <c r="U17"/>
      <c r="X17"/>
    </row>
    <row r="18" spans="2:24" ht="32.25">
      <c r="B18" s="312">
        <f>ROW() - 2</f>
        <v>16</v>
      </c>
      <c r="C18" s="8" t="s">
        <v>19</v>
      </c>
      <c r="D18" s="373" t="s">
        <v>30</v>
      </c>
      <c r="E18" s="91" t="s">
        <v>167</v>
      </c>
      <c r="F18" s="305" t="s">
        <v>31</v>
      </c>
      <c r="G18" s="397" t="str" cm="1">
        <f t="array" ref="G18">IFERROR( INDEX(鍵盤設計表[台語音標], MATCH(TRUE, EXACT(注音編碼對照表[[#This Row],[方音符號]], 鍵盤設計表[方音符號]),0)), "")</f>
        <v>s</v>
      </c>
      <c r="H18" s="96" t="str" cm="1">
        <f t="array" ref="H18">IFERROR( INDEX(鍵盤設計表[注音二式], MATCH(TRUE, EXACT(注音編碼對照表[[#This Row],[方音符號]], 鍵盤設計表[方音符號]),0)),"")</f>
        <v>s</v>
      </c>
      <c r="I18" s="96" t="str" cm="1">
        <f t="array" ref="I18">IFERROR( INDEX(鍵盤設計表[閩拼方案], MATCH(TRUE, EXACT(注音編碼對照表[[#This Row],[方音符號]], 鍵盤設計表[方音符號]),0)), "")</f>
        <v>s</v>
      </c>
      <c r="J18" s="369" t="str" cm="1">
        <f t="array" ref="J18">IFERROR( INDEX(鍵盤設計表[聲韻調], MATCH(TRUE, EXACT(注音編碼對照表[[#This Row],[方音符號]], 鍵盤設計表[方音符號]),0)), "")</f>
        <v>聲</v>
      </c>
      <c r="L18"/>
      <c r="M18"/>
      <c r="N18"/>
      <c r="R18"/>
      <c r="S18"/>
      <c r="U18"/>
      <c r="X18"/>
    </row>
    <row r="19" spans="2:24" ht="32.25">
      <c r="B19" s="312">
        <f>ROW() - 2</f>
        <v>17</v>
      </c>
      <c r="C19" s="8" t="s">
        <v>284</v>
      </c>
      <c r="D19" s="374" t="s">
        <v>78</v>
      </c>
      <c r="E19" s="343" t="s">
        <v>130</v>
      </c>
      <c r="F19" s="305" t="s">
        <v>384</v>
      </c>
      <c r="G19" s="397" t="str" cm="1">
        <f t="array" ref="G19">IFERROR( INDEX(鍵盤設計表[台語音標], MATCH(TRUE, EXACT(注音編碼對照表[[#This Row],[方音符號]], 鍵盤設計表[方音符號]),0)), "")</f>
        <v>ji</v>
      </c>
      <c r="H19" s="96" t="str" cm="1">
        <f t="array" ref="H19">IFERROR( INDEX(鍵盤設計表[注音二式], MATCH(TRUE, EXACT(注音編碼對照表[[#This Row],[方音符號]], 鍵盤設計表[方音符號]),0)),"")</f>
        <v>jj</v>
      </c>
      <c r="I19" s="96" t="str" cm="1">
        <f t="array" ref="I19">IFERROR( INDEX(鍵盤設計表[閩拼方案], MATCH(TRUE, EXACT(注音編碼對照表[[#This Row],[方音符號]], 鍵盤設計表[方音符號]),0)), "")</f>
        <v>jj</v>
      </c>
      <c r="J19" s="369" t="str" cm="1">
        <f t="array" ref="J19">IFERROR( INDEX(鍵盤設計表[聲韻調], MATCH(TRUE, EXACT(注音編碼對照表[[#This Row],[方音符號]], 鍵盤設計表[方音符號]),0)), "")</f>
        <v>聲</v>
      </c>
      <c r="L19"/>
      <c r="M19"/>
      <c r="N19"/>
      <c r="R19"/>
      <c r="S19"/>
      <c r="U19"/>
      <c r="X19"/>
    </row>
    <row r="20" spans="2:24" ht="32.25">
      <c r="B20" s="312">
        <f>ROW() - 2</f>
        <v>18</v>
      </c>
      <c r="C20" s="8" t="s">
        <v>148</v>
      </c>
      <c r="D20" s="374" t="s">
        <v>61</v>
      </c>
      <c r="E20" s="343" t="s">
        <v>134</v>
      </c>
      <c r="F20" s="305" t="s">
        <v>62</v>
      </c>
      <c r="G20" s="397" t="str" cm="1">
        <f t="array" ref="G20">IFERROR( INDEX(鍵盤設計表[台語音標], MATCH(TRUE, EXACT(注音編碼對照表[[#This Row],[方音符號]], 鍵盤設計表[方音符號]),0)), "")</f>
        <v>zi</v>
      </c>
      <c r="H20" s="96" t="str" cm="1">
        <f t="array" ref="H20">IFERROR( INDEX(鍵盤設計表[注音二式], MATCH(TRUE, EXACT(注音編碼對照表[[#This Row],[方音符號]], 鍵盤設計表[方音符號]),0)),"")</f>
        <v>j</v>
      </c>
      <c r="I20" s="96" t="str" cm="1">
        <f t="array" ref="I20">IFERROR( INDEX(鍵盤設計表[閩拼方案], MATCH(TRUE, EXACT(注音編碼對照表[[#This Row],[方音符號]], 鍵盤設計表[方音符號]),0)), "")</f>
        <v>j</v>
      </c>
      <c r="J20" s="369" t="str" cm="1">
        <f t="array" ref="J20">IFERROR( INDEX(鍵盤設計表[聲韻調], MATCH(TRUE, EXACT(注音編碼對照表[[#This Row],[方音符號]], 鍵盤設計表[方音符號]),0)), "")</f>
        <v>聲</v>
      </c>
      <c r="L20"/>
      <c r="M20"/>
      <c r="N20"/>
      <c r="R20"/>
      <c r="S20"/>
      <c r="U20"/>
      <c r="X20"/>
    </row>
    <row r="21" spans="2:24" ht="32.25">
      <c r="B21" s="312">
        <f>ROW() - 2</f>
        <v>19</v>
      </c>
      <c r="C21" s="8" t="s">
        <v>308</v>
      </c>
      <c r="D21" s="374" t="s">
        <v>63</v>
      </c>
      <c r="E21" s="91" t="s">
        <v>227</v>
      </c>
      <c r="F21" s="305" t="s">
        <v>383</v>
      </c>
      <c r="G21" s="397" t="str" cm="1">
        <f t="array" ref="G21">IFERROR( INDEX(鍵盤設計表[台語音標], MATCH(TRUE, EXACT(注音編碼對照表[[#This Row],[方音符號]], 鍵盤設計表[方音符號]),0)), "")</f>
        <v>ci</v>
      </c>
      <c r="H21" s="96" t="str" cm="1">
        <f t="array" ref="H21">IFERROR( INDEX(鍵盤設計表[注音二式], MATCH(TRUE, EXACT(注音編碼對照表[[#This Row],[方音符號]], 鍵盤設計表[方音符號]),0)),"")</f>
        <v>ch</v>
      </c>
      <c r="I21" s="96" t="str" cm="1">
        <f t="array" ref="I21">IFERROR( INDEX(鍵盤設計表[閩拼方案], MATCH(TRUE, EXACT(注音編碼對照表[[#This Row],[方音符號]], 鍵盤設計表[方音符號]),0)), "")</f>
        <v>ch</v>
      </c>
      <c r="J21" s="369" t="str" cm="1">
        <f t="array" ref="J21">IFERROR( INDEX(鍵盤設計表[聲韻調], MATCH(TRUE, EXACT(注音編碼對照表[[#This Row],[方音符號]], 鍵盤設計表[方音符號]),0)), "")</f>
        <v>聲</v>
      </c>
      <c r="L21"/>
      <c r="M21"/>
      <c r="N21"/>
      <c r="R21"/>
      <c r="S21"/>
      <c r="U21"/>
      <c r="X21"/>
    </row>
    <row r="22" spans="2:24" ht="32.25">
      <c r="B22" s="312">
        <f>ROW() - 2</f>
        <v>20</v>
      </c>
      <c r="C22" s="8" t="s">
        <v>309</v>
      </c>
      <c r="D22" s="374" t="s">
        <v>149</v>
      </c>
      <c r="E22" s="91" t="s">
        <v>228</v>
      </c>
      <c r="F22" s="305" t="s">
        <v>64</v>
      </c>
      <c r="G22" s="397" t="str" cm="1">
        <f t="array" ref="G22">IFERROR( INDEX(鍵盤設計表[台語音標], MATCH(TRUE, EXACT(注音編碼對照表[[#This Row],[方音符號]], 鍵盤設計表[方音符號]),0)), "")</f>
        <v>si</v>
      </c>
      <c r="H22" s="96" t="str" cm="1">
        <f t="array" ref="H22">IFERROR( INDEX(鍵盤設計表[注音二式], MATCH(TRUE, EXACT(注音編碼對照表[[#This Row],[方音符號]], 鍵盤設計表[方音符號]),0)),"")</f>
        <v>sh</v>
      </c>
      <c r="I22" s="96" t="str" cm="1">
        <f t="array" ref="I22">IFERROR( INDEX(鍵盤設計表[閩拼方案], MATCH(TRUE, EXACT(注音編碼對照表[[#This Row],[方音符號]], 鍵盤設計表[方音符號]),0)), "")</f>
        <v>sh</v>
      </c>
      <c r="J22" s="369" t="str" cm="1">
        <f t="array" ref="J22">IFERROR( INDEX(鍵盤設計表[聲韻調], MATCH(TRUE, EXACT(注音編碼對照表[[#This Row],[方音符號]], 鍵盤設計表[方音符號]),0)), "")</f>
        <v>聲</v>
      </c>
      <c r="L22"/>
      <c r="M22"/>
      <c r="N22"/>
      <c r="R22"/>
      <c r="S22"/>
      <c r="U22"/>
      <c r="X22"/>
    </row>
    <row r="23" spans="2:24" ht="32.25">
      <c r="B23" s="312">
        <f>ROW() - 2</f>
        <v>21</v>
      </c>
      <c r="C23" s="8" t="s">
        <v>152</v>
      </c>
      <c r="D23" s="371" t="s">
        <v>32</v>
      </c>
      <c r="E23" s="91" t="s">
        <v>208</v>
      </c>
      <c r="F23" s="305" t="s">
        <v>33</v>
      </c>
      <c r="G23" s="397" t="str" cm="1">
        <f t="array" ref="G23">IFERROR( INDEX(鍵盤設計表[台語音標], MATCH(TRUE, EXACT(注音編碼對照表[[#This Row],[方音符號]], 鍵盤設計表[方音符號]),0)), "")</f>
        <v>h</v>
      </c>
      <c r="H23" s="96" t="str" cm="1">
        <f t="array" ref="H23">IFERROR( INDEX(鍵盤設計表[注音二式], MATCH(TRUE, EXACT(注音編碼對照表[[#This Row],[方音符號]], 鍵盤設計表[方音符號]),0)),"")</f>
        <v>h</v>
      </c>
      <c r="I23" s="96" t="str" cm="1">
        <f t="array" ref="I23">IFERROR( INDEX(鍵盤設計表[閩拼方案], MATCH(TRUE, EXACT(注音編碼對照表[[#This Row],[方音符號]], 鍵盤設計表[方音符號]),0)), "")</f>
        <v>h</v>
      </c>
      <c r="J23" s="369" t="str" cm="1">
        <f t="array" ref="J23">IFERROR( INDEX(鍵盤設計表[聲韻調], MATCH(TRUE, EXACT(注音編碼對照表[[#This Row],[方音符號]], 鍵盤設計表[方音符號]),0)), "")</f>
        <v>聲</v>
      </c>
      <c r="L23"/>
      <c r="M23"/>
      <c r="N23"/>
      <c r="R23"/>
      <c r="S23"/>
      <c r="U23"/>
      <c r="X23"/>
    </row>
    <row r="24" spans="2:24" ht="32.25">
      <c r="B24" s="308">
        <f>ROW() - 2</f>
        <v>22</v>
      </c>
      <c r="C24" s="8" t="s">
        <v>304</v>
      </c>
      <c r="D24" s="371" t="s">
        <v>38</v>
      </c>
      <c r="E24" s="91" t="s">
        <v>174</v>
      </c>
      <c r="F24" s="305" t="s">
        <v>39</v>
      </c>
      <c r="G24" s="397" t="str" cm="1">
        <f t="array" ref="G24">IFERROR( INDEX(鍵盤設計表[台語音標], MATCH(TRUE, EXACT(注音編碼對照表[[#This Row],[方音符號]], 鍵盤設計表[方音符號]),0)), "")</f>
        <v>a</v>
      </c>
      <c r="H24" s="96" t="str" cm="1">
        <f t="array" ref="H24">IFERROR( INDEX(鍵盤設計表[注音二式], MATCH(TRUE, EXACT(注音編碼對照表[[#This Row],[方音符號]], 鍵盤設計表[方音符號]),0)),"")</f>
        <v>a</v>
      </c>
      <c r="I24" s="96" t="str" cm="1">
        <f t="array" ref="I24">IFERROR( INDEX(鍵盤設計表[閩拼方案], MATCH(TRUE, EXACT(注音編碼對照表[[#This Row],[方音符號]], 鍵盤設計表[方音符號]),0)), "")</f>
        <v>a</v>
      </c>
      <c r="J24" s="369" t="str" cm="1">
        <f t="array" ref="J24">IFERROR( INDEX(鍵盤設計表[聲韻調], MATCH(TRUE, EXACT(注音編碼對照表[[#This Row],[方音符號]], 鍵盤設計表[方音符號]),0)), "")</f>
        <v>韻</v>
      </c>
      <c r="L24"/>
      <c r="M24"/>
      <c r="N24"/>
      <c r="R24"/>
      <c r="S24"/>
      <c r="U24"/>
      <c r="X24"/>
    </row>
    <row r="25" spans="2:24" ht="32.25">
      <c r="B25" s="308">
        <f>ROW() - 2</f>
        <v>23</v>
      </c>
      <c r="C25" s="8" t="s">
        <v>113</v>
      </c>
      <c r="D25" s="373" t="s">
        <v>34</v>
      </c>
      <c r="E25" s="91" t="s">
        <v>146</v>
      </c>
      <c r="F25" s="305" t="s">
        <v>35</v>
      </c>
      <c r="G25" s="397" t="str" cm="1">
        <f t="array" ref="G25">IFERROR( INDEX(鍵盤設計表[台語音標], MATCH(TRUE, EXACT(注音編碼對照表[[#This Row],[方音符號]], 鍵盤設計表[方音符號]),0)), "")</f>
        <v>i</v>
      </c>
      <c r="H25" s="96" t="str" cm="1">
        <f t="array" ref="H25">IFERROR( INDEX(鍵盤設計表[注音二式], MATCH(TRUE, EXACT(注音編碼對照表[[#This Row],[方音符號]], 鍵盤設計表[方音符號]),0)),"")</f>
        <v>i</v>
      </c>
      <c r="I25" s="96" t="str" cm="1">
        <f t="array" ref="I25">IFERROR( INDEX(鍵盤設計表[閩拼方案], MATCH(TRUE, EXACT(注音編碼對照表[[#This Row],[方音符號]], 鍵盤設計表[方音符號]),0)), "")</f>
        <v>i</v>
      </c>
      <c r="J25" s="369" t="str" cm="1">
        <f t="array" ref="J25">IFERROR( INDEX(鍵盤設計表[聲韻調], MATCH(TRUE, EXACT(注音編碼對照表[[#This Row],[方音符號]], 鍵盤設計表[方音符號]),0)), "")</f>
        <v>韻</v>
      </c>
      <c r="L25"/>
      <c r="M25"/>
      <c r="N25"/>
      <c r="R25"/>
      <c r="S25"/>
      <c r="U25"/>
      <c r="X25"/>
    </row>
    <row r="26" spans="2:24" ht="32.25">
      <c r="B26" s="308">
        <f>ROW() - 2</f>
        <v>24</v>
      </c>
      <c r="C26" s="8" t="s">
        <v>209</v>
      </c>
      <c r="D26" s="371" t="s">
        <v>305</v>
      </c>
      <c r="E26" s="91" t="s">
        <v>169</v>
      </c>
      <c r="F26" s="305" t="s">
        <v>608</v>
      </c>
      <c r="G26" s="397" t="str" cm="1">
        <f t="array" ref="G26">IFERROR( INDEX(鍵盤設計表[台語音標], MATCH(TRUE, EXACT(注音編碼對照表[[#This Row],[方音符號]], 鍵盤設計表[方音符號]),0)), "")</f>
        <v>ir</v>
      </c>
      <c r="H26" s="96" t="str" cm="1">
        <f t="array" ref="H26">IFERROR( INDEX(鍵盤設計表[注音二式], MATCH(TRUE, EXACT(注音編碼對照表[[#This Row],[方音符號]], 鍵盤設計表[方音符號]),0)),"")</f>
        <v>ir</v>
      </c>
      <c r="I26" s="96" t="str" cm="1">
        <f t="array" ref="I26">IFERROR( INDEX(鍵盤設計表[閩拼方案], MATCH(TRUE, EXACT(注音編碼對照表[[#This Row],[方音符號]], 鍵盤設計表[方音符號]),0)), "")</f>
        <v>eu</v>
      </c>
      <c r="J26" s="369" t="str" cm="1">
        <f t="array" ref="J26">IFERROR( INDEX(鍵盤設計表[聲韻調], MATCH(TRUE, EXACT(注音編碼對照表[[#This Row],[方音符號]], 鍵盤設計表[方音符號]),0)), "")</f>
        <v>韻</v>
      </c>
      <c r="L26"/>
      <c r="M26"/>
      <c r="N26"/>
      <c r="R26"/>
      <c r="S26"/>
      <c r="U26"/>
      <c r="X26"/>
    </row>
    <row r="27" spans="2:24" ht="32.25">
      <c r="B27" s="308">
        <f>ROW() - 2</f>
        <v>25</v>
      </c>
      <c r="C27" s="8" t="s">
        <v>134</v>
      </c>
      <c r="D27" s="373" t="s">
        <v>36</v>
      </c>
      <c r="E27" s="91" t="s">
        <v>113</v>
      </c>
      <c r="F27" s="305" t="s">
        <v>37</v>
      </c>
      <c r="G27" s="397" t="str" cm="1">
        <f t="array" ref="G27">IFERROR( INDEX(鍵盤設計表[台語音標], MATCH(TRUE, EXACT(注音編碼對照表[[#This Row],[方音符號]], 鍵盤設計表[方音符號]),0)), "")</f>
        <v>u</v>
      </c>
      <c r="H27" s="96" t="str" cm="1">
        <f t="array" ref="H27">IFERROR( INDEX(鍵盤設計表[注音二式], MATCH(TRUE, EXACT(注音編碼對照表[[#This Row],[方音符號]], 鍵盤設計表[方音符號]),0)),"")</f>
        <v>u</v>
      </c>
      <c r="I27" s="96" t="str" cm="1">
        <f t="array" ref="I27">IFERROR( INDEX(鍵盤設計表[閩拼方案], MATCH(TRUE, EXACT(注音編碼對照表[[#This Row],[方音符號]], 鍵盤設計表[方音符號]),0)), "")</f>
        <v>u</v>
      </c>
      <c r="J27" s="369" t="str" cm="1">
        <f t="array" ref="J27">IFERROR( INDEX(鍵盤設計表[聲韻調], MATCH(TRUE, EXACT(注音編碼對照表[[#This Row],[方音符號]], 鍵盤設計表[方音符號]),0)), "")</f>
        <v>韻</v>
      </c>
      <c r="L27"/>
      <c r="M27"/>
      <c r="N27"/>
      <c r="R27"/>
      <c r="S27"/>
      <c r="U27"/>
      <c r="X27"/>
    </row>
    <row r="28" spans="2:24" ht="32.25">
      <c r="B28" s="308">
        <f>ROW() - 2</f>
        <v>26</v>
      </c>
      <c r="C28" s="8" t="s">
        <v>123</v>
      </c>
      <c r="D28" s="373" t="s">
        <v>40</v>
      </c>
      <c r="E28" s="91" t="s">
        <v>162</v>
      </c>
      <c r="F28" s="309" t="s">
        <v>41</v>
      </c>
      <c r="G28" s="397" t="str" cm="1">
        <f t="array" ref="G28">IFERROR( INDEX(鍵盤設計表[台語音標], MATCH(TRUE, EXACT(注音編碼對照表[[#This Row],[方音符號]], 鍵盤設計表[方音符號]),0)), "")</f>
        <v>e</v>
      </c>
      <c r="H28" s="96" t="str" cm="1">
        <f t="array" ref="H28">IFERROR( INDEX(鍵盤設計表[注音二式], MATCH(TRUE, EXACT(注音編碼對照表[[#This Row],[方音符號]], 鍵盤設計表[方音符號]),0)),"")</f>
        <v>e</v>
      </c>
      <c r="I28" s="96" t="str" cm="1">
        <f t="array" ref="I28">IFERROR( INDEX(鍵盤設計表[閩拼方案], MATCH(TRUE, EXACT(注音編碼對照表[[#This Row],[方音符號]], 鍵盤設計表[方音符號]),0)), "")</f>
        <v>e</v>
      </c>
      <c r="J28" s="369" t="str" cm="1">
        <f t="array" ref="J28">IFERROR( INDEX(鍵盤設計表[聲韻調], MATCH(TRUE, EXACT(注音編碼對照表[[#This Row],[方音符號]], 鍵盤設計表[方音符號]),0)), "")</f>
        <v>韻</v>
      </c>
      <c r="L28"/>
      <c r="M28"/>
      <c r="N28"/>
      <c r="R28"/>
      <c r="S28"/>
      <c r="U28"/>
      <c r="X28"/>
    </row>
    <row r="29" spans="2:24" ht="32.25">
      <c r="B29" s="308">
        <f>ROW() - 2</f>
        <v>27</v>
      </c>
      <c r="C29" s="8" t="s">
        <v>146</v>
      </c>
      <c r="D29" s="371" t="s">
        <v>44</v>
      </c>
      <c r="E29" s="91" t="s">
        <v>139</v>
      </c>
      <c r="F29" s="305" t="s">
        <v>347</v>
      </c>
      <c r="G29" s="397" t="str" cm="1">
        <f t="array" ref="G29">IFERROR( INDEX(鍵盤設計表[台語音標], MATCH(TRUE, EXACT(注音編碼對照表[[#This Row],[方音符號]], 鍵盤設計表[方音符號]),0)), "")</f>
        <v>oo</v>
      </c>
      <c r="H29" s="96" t="str" cm="1">
        <f t="array" ref="H29">IFERROR( INDEX(鍵盤設計表[注音二式], MATCH(TRUE, EXACT(注音編碼對照表[[#This Row],[方音符號]], 鍵盤設計表[方音符號]),0)),"")</f>
        <v>oo</v>
      </c>
      <c r="I29" s="96" t="str" cm="1">
        <f t="array" ref="I29">IFERROR( INDEX(鍵盤設計表[閩拼方案], MATCH(TRUE, EXACT(注音編碼對照表[[#This Row],[方音符號]], 鍵盤設計表[方音符號]),0)), "")</f>
        <v>oo</v>
      </c>
      <c r="J29" s="369" t="str" cm="1">
        <f t="array" ref="J29">IFERROR( INDEX(鍵盤設計表[聲韻調], MATCH(TRUE, EXACT(注音編碼對照表[[#This Row],[方音符號]], 鍵盤設計表[方音符號]),0)), "")</f>
        <v>韻</v>
      </c>
      <c r="L29"/>
      <c r="M29"/>
      <c r="N29"/>
      <c r="R29"/>
      <c r="S29"/>
      <c r="U29"/>
      <c r="X29"/>
    </row>
    <row r="30" spans="2:24" ht="32.25">
      <c r="B30" s="308">
        <f>ROW() - 2</f>
        <v>28</v>
      </c>
      <c r="C30" s="8" t="s">
        <v>21</v>
      </c>
      <c r="D30" s="371" t="s">
        <v>233</v>
      </c>
      <c r="E30" s="91" t="s">
        <v>42</v>
      </c>
      <c r="F30" s="305" t="s">
        <v>348</v>
      </c>
      <c r="G30" s="397" t="str" cm="1">
        <f t="array" ref="G30">IFERROR( INDEX(鍵盤設計表[台語音標], MATCH(TRUE, EXACT(注音編碼對照表[[#This Row],[方音符號]], 鍵盤設計表[方音符號]),0)), "")</f>
        <v>o</v>
      </c>
      <c r="H30" s="96" t="str" cm="1">
        <f t="array" ref="H30">IFERROR( INDEX(鍵盤設計表[注音二式], MATCH(TRUE, EXACT(注音編碼對照表[[#This Row],[方音符號]], 鍵盤設計表[方音符號]),0)),"")</f>
        <v>or</v>
      </c>
      <c r="I30" s="96" t="str" cm="1">
        <f t="array" ref="I30">IFERROR( INDEX(鍵盤設計表[閩拼方案], MATCH(TRUE, EXACT(注音編碼對照表[[#This Row],[方音符號]], 鍵盤設計表[方音符號]),0)), "")</f>
        <v>o</v>
      </c>
      <c r="J30" s="369" t="str" cm="1">
        <f t="array" ref="J30">IFERROR( INDEX(鍵盤設計表[聲韻調], MATCH(TRUE, EXACT(注音編碼對照表[[#This Row],[方音符號]], 鍵盤設計表[方音符號]),0)), "")</f>
        <v>韻</v>
      </c>
      <c r="L30"/>
      <c r="M30"/>
      <c r="N30"/>
      <c r="R30"/>
      <c r="S30"/>
      <c r="U30"/>
      <c r="X30"/>
    </row>
    <row r="31" spans="2:24" ht="32.25">
      <c r="B31" s="308">
        <f>ROW() - 2</f>
        <v>29</v>
      </c>
      <c r="C31" s="8" t="s">
        <v>137</v>
      </c>
      <c r="D31" s="373" t="s">
        <v>128</v>
      </c>
      <c r="E31" s="91" t="s">
        <v>143</v>
      </c>
      <c r="F31" s="305" t="s">
        <v>47</v>
      </c>
      <c r="G31" s="397" t="str" cm="1">
        <f t="array" ref="G31">IFERROR( INDEX(鍵盤設計表[台語音標], MATCH(TRUE, EXACT(注音編碼對照表[[#This Row],[方音符號]], 鍵盤設計表[方音符號]),0)), "")</f>
        <v>ai</v>
      </c>
      <c r="H31" s="96" t="str" cm="1">
        <f t="array" ref="H31">IFERROR( INDEX(鍵盤設計表[注音二式], MATCH(TRUE, EXACT(注音編碼對照表[[#This Row],[方音符號]], 鍵盤設計表[方音符號]),0)),"")</f>
        <v>ai</v>
      </c>
      <c r="I31" s="96" t="str" cm="1">
        <f t="array" ref="I31">IFERROR( INDEX(鍵盤設計表[閩拼方案], MATCH(TRUE, EXACT(注音編碼對照表[[#This Row],[方音符號]], 鍵盤設計表[方音符號]),0)), "")</f>
        <v>ai</v>
      </c>
      <c r="J31" s="369" t="str" cm="1">
        <f t="array" ref="J31">IFERROR( INDEX(鍵盤設計表[聲韻調], MATCH(TRUE, EXACT(注音編碼對照表[[#This Row],[方音符號]], 鍵盤設計表[方音符號]),0)), "")</f>
        <v>韻</v>
      </c>
      <c r="L31"/>
      <c r="M31"/>
      <c r="N31"/>
      <c r="R31"/>
      <c r="S31"/>
      <c r="U31"/>
      <c r="X31"/>
    </row>
    <row r="32" spans="2:24" ht="32.25">
      <c r="B32" s="308">
        <f>ROW() - 2</f>
        <v>30</v>
      </c>
      <c r="C32" s="8" t="s">
        <v>59</v>
      </c>
      <c r="D32" s="371" t="s">
        <v>48</v>
      </c>
      <c r="E32" s="91" t="s">
        <v>135</v>
      </c>
      <c r="F32" s="305" t="s">
        <v>49</v>
      </c>
      <c r="G32" s="397" t="str" cm="1">
        <f t="array" ref="G32">IFERROR( INDEX(鍵盤設計表[台語音標], MATCH(TRUE, EXACT(注音編碼對照表[[#This Row],[方音符號]], 鍵盤設計表[方音符號]),0)), "")</f>
        <v>au</v>
      </c>
      <c r="H32" s="96" t="str" cm="1">
        <f t="array" ref="H32">IFERROR( INDEX(鍵盤設計表[注音二式], MATCH(TRUE, EXACT(注音編碼對照表[[#This Row],[方音符號]], 鍵盤設計表[方音符號]),0)),"")</f>
        <v>au</v>
      </c>
      <c r="I32" s="96" t="str" cm="1">
        <f t="array" ref="I32">IFERROR( INDEX(鍵盤設計表[閩拼方案], MATCH(TRUE, EXACT(注音編碼對照表[[#This Row],[方音符號]], 鍵盤設計表[方音符號]),0)), "")</f>
        <v>au</v>
      </c>
      <c r="J32" s="369" t="str" cm="1">
        <f t="array" ref="J32">IFERROR( INDEX(鍵盤設計表[聲韻調], MATCH(TRUE, EXACT(注音編碼對照表[[#This Row],[方音符號]], 鍵盤設計表[方音符號]),0)), "")</f>
        <v>韻</v>
      </c>
      <c r="L32"/>
      <c r="M32"/>
      <c r="N32"/>
      <c r="R32"/>
      <c r="S32"/>
      <c r="U32"/>
      <c r="X32"/>
    </row>
    <row r="33" spans="2:24" ht="32.25">
      <c r="B33" s="308">
        <f>ROW() - 2</f>
        <v>31</v>
      </c>
      <c r="C33" s="8" t="s">
        <v>147</v>
      </c>
      <c r="D33" s="371" t="s">
        <v>81</v>
      </c>
      <c r="E33" s="343" t="s">
        <v>216</v>
      </c>
      <c r="F33" s="305" t="s">
        <v>173</v>
      </c>
      <c r="G33" s="397" t="str" cm="1">
        <f t="array" ref="G33">IFERROR( INDEX(鍵盤設計表[台語音標], MATCH(TRUE, EXACT(注音編碼對照表[[#This Row],[方音符號]], 鍵盤設計表[方音符號]),0)), "")</f>
        <v>ann</v>
      </c>
      <c r="H33" s="96" t="str" cm="1">
        <f t="array" ref="H33">IFERROR( INDEX(鍵盤設計表[注音二式], MATCH(TRUE, EXACT(注音編碼對照表[[#This Row],[方音符號]], 鍵盤設計表[方音符號]),0)),"")</f>
        <v>ann</v>
      </c>
      <c r="I33" s="96" t="str" cm="1">
        <f t="array" ref="I33">IFERROR( INDEX(鍵盤設計表[閩拼方案], MATCH(TRUE, EXACT(注音編碼對照表[[#This Row],[方音符號]], 鍵盤設計表[方音符號]),0)), "")</f>
        <v>na</v>
      </c>
      <c r="J33" s="369" t="str" cm="1">
        <f t="array" ref="J33">IFERROR( INDEX(鍵盤設計表[聲韻調], MATCH(TRUE, EXACT(注音編碼對照表[[#This Row],[方音符號]], 鍵盤設計表[方音符號]),0)), "")</f>
        <v>韻</v>
      </c>
      <c r="L33"/>
      <c r="M33"/>
      <c r="N33"/>
      <c r="R33"/>
      <c r="S33"/>
      <c r="U33"/>
      <c r="X33"/>
    </row>
    <row r="34" spans="2:24" ht="32.25">
      <c r="B34" s="308">
        <f>ROW() - 2</f>
        <v>32</v>
      </c>
      <c r="C34" s="8" t="s">
        <v>135</v>
      </c>
      <c r="D34" s="371" t="s">
        <v>529</v>
      </c>
      <c r="E34" s="343" t="s">
        <v>210</v>
      </c>
      <c r="F34" s="305" t="s">
        <v>351</v>
      </c>
      <c r="G34" s="397" t="str" cm="1">
        <f t="array" ref="G34">IFERROR( INDEX(鍵盤設計表[台語音標], MATCH(TRUE, EXACT(注音編碼對照表[[#This Row],[方音符號]], 鍵盤設計表[方音符號]),0)), "")</f>
        <v>inn</v>
      </c>
      <c r="H34" s="96" t="str" cm="1">
        <f t="array" ref="H34">IFERROR( INDEX(鍵盤設計表[注音二式], MATCH(TRUE, EXACT(注音編碼對照表[[#This Row],[方音符號]], 鍵盤設計表[方音符號]),0)),"")</f>
        <v>inn</v>
      </c>
      <c r="I34" s="96" t="str" cm="1">
        <f t="array" ref="I34">IFERROR( INDEX(鍵盤設計表[閩拼方案], MATCH(TRUE, EXACT(注音編碼對照表[[#This Row],[方音符號]], 鍵盤設計表[方音符號]),0)), "")</f>
        <v>ni</v>
      </c>
      <c r="J34" s="369" t="str" cm="1">
        <f t="array" ref="J34">IFERROR( INDEX(鍵盤設計表[聲韻調], MATCH(TRUE, EXACT(注音編碼對照表[[#This Row],[方音符號]], 鍵盤設計表[方音符號]),0)), "")</f>
        <v>韻</v>
      </c>
      <c r="L34"/>
      <c r="M34"/>
      <c r="N34"/>
      <c r="R34"/>
      <c r="S34"/>
      <c r="U34"/>
      <c r="X34"/>
    </row>
    <row r="35" spans="2:24" ht="32.25">
      <c r="B35" s="308">
        <f>ROW() - 2</f>
        <v>33</v>
      </c>
      <c r="C35" s="8" t="s">
        <v>130</v>
      </c>
      <c r="D35" s="373" t="s">
        <v>80</v>
      </c>
      <c r="E35" s="343" t="s">
        <v>204</v>
      </c>
      <c r="F35" s="305" t="s">
        <v>350</v>
      </c>
      <c r="G35" s="397" t="str" cm="1">
        <f t="array" ref="G35">IFERROR( INDEX(鍵盤設計表[台語音標], MATCH(TRUE, EXACT(注音編碼對照表[[#This Row],[方音符號]], 鍵盤設計表[方音符號]),0)), "")</f>
        <v>unn</v>
      </c>
      <c r="H35" s="96" t="str" cm="1">
        <f t="array" ref="H35">IFERROR( INDEX(鍵盤設計表[注音二式], MATCH(TRUE, EXACT(注音編碼對照表[[#This Row],[方音符號]], 鍵盤設計表[方音符號]),0)),"")</f>
        <v>unn</v>
      </c>
      <c r="I35" s="96" t="str" cm="1">
        <f t="array" ref="I35">IFERROR( INDEX(鍵盤設計表[閩拼方案], MATCH(TRUE, EXACT(注音編碼對照表[[#This Row],[方音符號]], 鍵盤設計表[方音符號]),0)), "")</f>
        <v>nu</v>
      </c>
      <c r="J35" s="369" t="str" cm="1">
        <f t="array" ref="J35">IFERROR( INDEX(鍵盤設計表[聲韻調], MATCH(TRUE, EXACT(注音編碼對照表[[#This Row],[方音符號]], 鍵盤設計表[方音符號]),0)), "")</f>
        <v>韻</v>
      </c>
      <c r="K35" s="89"/>
      <c r="L35"/>
      <c r="M35"/>
      <c r="N35"/>
      <c r="R35"/>
      <c r="S35"/>
      <c r="U35"/>
      <c r="X35"/>
    </row>
    <row r="36" spans="2:24" ht="32.25">
      <c r="B36" s="308">
        <f>ROW() - 2</f>
        <v>34</v>
      </c>
      <c r="C36" s="8" t="s">
        <v>122</v>
      </c>
      <c r="D36" s="371" t="s">
        <v>83</v>
      </c>
      <c r="E36" s="343" t="s">
        <v>207</v>
      </c>
      <c r="F36" s="305" t="s">
        <v>352</v>
      </c>
      <c r="G36" s="397" t="str" cm="1">
        <f t="array" ref="G36">IFERROR( INDEX(鍵盤設計表[台語音標], MATCH(TRUE, EXACT(注音編碼對照表[[#This Row],[方音符號]], 鍵盤設計表[方音符號]),0)), "")</f>
        <v>enn</v>
      </c>
      <c r="H36" s="96" t="str" cm="1">
        <f t="array" ref="H36">IFERROR( INDEX(鍵盤設計表[注音二式], MATCH(TRUE, EXACT(注音編碼對照表[[#This Row],[方音符號]], 鍵盤設計表[方音符號]),0)),"")</f>
        <v>enn</v>
      </c>
      <c r="I36" s="96" t="str" cm="1">
        <f t="array" ref="I36">IFERROR( INDEX(鍵盤設計表[閩拼方案], MATCH(TRUE, EXACT(注音編碼對照表[[#This Row],[方音符號]], 鍵盤設計表[方音符號]),0)), "")</f>
        <v>ne</v>
      </c>
      <c r="J36" s="369" t="str" cm="1">
        <f t="array" ref="J36">IFERROR( INDEX(鍵盤設計表[聲韻調], MATCH(TRUE, EXACT(注音編碼對照表[[#This Row],[方音符號]], 鍵盤設計表[方音符號]),0)), "")</f>
        <v>韻</v>
      </c>
      <c r="K36" s="89"/>
      <c r="L36"/>
      <c r="M36"/>
      <c r="N36"/>
      <c r="R36"/>
      <c r="S36"/>
      <c r="U36"/>
      <c r="X36"/>
    </row>
    <row r="37" spans="2:24" ht="32.25">
      <c r="B37" s="308">
        <f>ROW() - 2</f>
        <v>35</v>
      </c>
      <c r="C37" s="8" t="s">
        <v>143</v>
      </c>
      <c r="D37" s="371" t="s">
        <v>84</v>
      </c>
      <c r="E37" s="343" t="s">
        <v>196</v>
      </c>
      <c r="F37" s="305" t="s">
        <v>353</v>
      </c>
      <c r="G37" s="397" t="str" cm="1">
        <f t="array" ref="G37">IFERROR( INDEX(鍵盤設計表[台語音標], MATCH(TRUE, EXACT(注音編碼對照表[[#This Row],[方音符號]], 鍵盤設計表[方音符號]),0)), "")</f>
        <v>onn</v>
      </c>
      <c r="H37" s="96" t="str" cm="1">
        <f t="array" ref="H37">IFERROR( INDEX(鍵盤設計表[注音二式], MATCH(TRUE, EXACT(注音編碼對照表[[#This Row],[方音符號]], 鍵盤設計表[方音符號]),0)),"")</f>
        <v>oonn</v>
      </c>
      <c r="I37" s="96" t="str" cm="1">
        <f t="array" ref="I37">IFERROR( INDEX(鍵盤設計表[閩拼方案], MATCH(TRUE, EXACT(注音編碼對照表[[#This Row],[方音符號]], 鍵盤設計表[方音符號]),0)), "")</f>
        <v>no</v>
      </c>
      <c r="J37" s="369" t="str" cm="1">
        <f t="array" ref="J37">IFERROR( INDEX(鍵盤設計表[聲韻調], MATCH(TRUE, EXACT(注音編碼對照表[[#This Row],[方音符號]], 鍵盤設計表[方音符號]),0)), "")</f>
        <v>韻</v>
      </c>
      <c r="L37"/>
      <c r="M37"/>
      <c r="N37"/>
      <c r="R37"/>
      <c r="S37"/>
      <c r="U37"/>
      <c r="X37"/>
    </row>
    <row r="38" spans="2:24" ht="32.25">
      <c r="B38" s="308">
        <f>ROW() - 2</f>
        <v>36</v>
      </c>
      <c r="C38" s="8" t="s">
        <v>127</v>
      </c>
      <c r="D38" s="371" t="s">
        <v>82</v>
      </c>
      <c r="E38" s="343" t="s">
        <v>164</v>
      </c>
      <c r="F38" s="305" t="s">
        <v>606</v>
      </c>
      <c r="G38" s="397" t="str" cm="1">
        <f t="array" ref="G38">IFERROR( INDEX(鍵盤設計表[台語音標], MATCH(TRUE, EXACT(注音編碼對照表[[#This Row],[方音符號]], 鍵盤設計表[方音符號]),0)), "")</f>
        <v>ainn</v>
      </c>
      <c r="H38" s="96" t="str" cm="1">
        <f t="array" ref="H38">IFERROR( INDEX(鍵盤設計表[注音二式], MATCH(TRUE, EXACT(注音編碼對照表[[#This Row],[方音符號]], 鍵盤設計表[方音符號]),0)),"")</f>
        <v>ainn</v>
      </c>
      <c r="I38" s="96" t="str" cm="1">
        <f t="array" ref="I38">IFERROR( INDEX(鍵盤設計表[閩拼方案], MATCH(TRUE, EXACT(注音編碼對照表[[#This Row],[方音符號]], 鍵盤設計表[方音符號]),0)), "")</f>
        <v>nai</v>
      </c>
      <c r="J38" s="369" t="str" cm="1">
        <f t="array" ref="J38">IFERROR( INDEX(鍵盤設計表[聲韻調], MATCH(TRUE, EXACT(注音編碼對照表[[#This Row],[方音符號]], 鍵盤設計表[方音符號]),0)), "")</f>
        <v>韻</v>
      </c>
      <c r="L38"/>
      <c r="M38"/>
      <c r="N38"/>
      <c r="R38"/>
      <c r="S38"/>
      <c r="U38"/>
      <c r="X38"/>
    </row>
    <row r="39" spans="2:24" ht="32.25">
      <c r="B39" s="308">
        <f>ROW() - 2</f>
        <v>37</v>
      </c>
      <c r="C39" s="8" t="s">
        <v>125</v>
      </c>
      <c r="D39" s="371" t="s">
        <v>85</v>
      </c>
      <c r="E39" s="343" t="s">
        <v>303</v>
      </c>
      <c r="F39" s="305" t="s">
        <v>607</v>
      </c>
      <c r="G39" s="397" t="str" cm="1">
        <f t="array" ref="G39">IFERROR( INDEX(鍵盤設計表[台語音標], MATCH(TRUE, EXACT(注音編碼對照表[[#This Row],[方音符號]], 鍵盤設計表[方音符號]),0)), "")</f>
        <v>aunn</v>
      </c>
      <c r="H39" s="96" t="str" cm="1">
        <f t="array" ref="H39">IFERROR( INDEX(鍵盤設計表[注音二式], MATCH(TRUE, EXACT(注音編碼對照表[[#This Row],[方音符號]], 鍵盤設計表[方音符號]),0)),"")</f>
        <v>aunn</v>
      </c>
      <c r="I39" s="96" t="str" cm="1">
        <f t="array" ref="I39">IFERROR( INDEX(鍵盤設計表[閩拼方案], MATCH(TRUE, EXACT(注音編碼對照表[[#This Row],[方音符號]], 鍵盤設計表[方音符號]),0)), "")</f>
        <v>nau</v>
      </c>
      <c r="J39" s="369" t="str" cm="1">
        <f t="array" ref="J39">IFERROR( INDEX(鍵盤設計表[聲韻調], MATCH(TRUE, EXACT(注音編碼對照表[[#This Row],[方音符號]], 鍵盤設計表[方音符號]),0)), "")</f>
        <v>韻</v>
      </c>
      <c r="L39"/>
      <c r="M39"/>
      <c r="N39"/>
      <c r="R39"/>
      <c r="S39"/>
      <c r="U39"/>
      <c r="X39"/>
    </row>
    <row r="40" spans="2:24" ht="32.25">
      <c r="B40" s="308">
        <f>ROW() - 2</f>
        <v>38</v>
      </c>
      <c r="C40" s="8" t="s">
        <v>95</v>
      </c>
      <c r="D40" s="371" t="s">
        <v>97</v>
      </c>
      <c r="E40" s="91" t="s">
        <v>257</v>
      </c>
      <c r="F40" s="305" t="s">
        <v>357</v>
      </c>
      <c r="G40" s="397" t="str" cm="1">
        <f t="array" ref="G40">IFERROR( INDEX(鍵盤設計表[台語音標], MATCH(TRUE, EXACT(注音編碼對照表[[#This Row],[方音符號]], 鍵盤設計表[方音符號]),0)), "")</f>
        <v>m</v>
      </c>
      <c r="H40" s="96" t="str" cm="1">
        <f t="array" ref="H40">IFERROR( INDEX(鍵盤設計表[注音二式], MATCH(TRUE, EXACT(注音編碼對照表[[#This Row],[方音符號]], 鍵盤設計表[方音符號]),0)),"")</f>
        <v>m</v>
      </c>
      <c r="I40" s="96" t="str" cm="1">
        <f t="array" ref="I40">IFERROR( INDEX(鍵盤設計表[閩拼方案], MATCH(TRUE, EXACT(注音編碼對照表[[#This Row],[方音符號]], 鍵盤設計表[方音符號]),0)), "")</f>
        <v>m</v>
      </c>
      <c r="J40" s="369" t="str" cm="1">
        <f t="array" ref="J40">IFERROR( INDEX(鍵盤設計表[聲韻調], MATCH(TRUE, EXACT(注音編碼對照表[[#This Row],[方音符號]], 鍵盤設計表[方音符號]),0)), "")</f>
        <v>韻</v>
      </c>
      <c r="L40"/>
      <c r="M40"/>
      <c r="N40"/>
      <c r="R40"/>
      <c r="S40"/>
      <c r="U40"/>
      <c r="X40"/>
    </row>
    <row r="41" spans="2:24" ht="32.25">
      <c r="B41" s="308">
        <f>ROW() - 2</f>
        <v>39</v>
      </c>
      <c r="C41" s="8" t="s">
        <v>119</v>
      </c>
      <c r="D41" s="374" t="s">
        <v>355</v>
      </c>
      <c r="E41" s="91" t="s">
        <v>293</v>
      </c>
      <c r="F41" s="305" t="s">
        <v>354</v>
      </c>
      <c r="G41" s="397" t="str" cm="1">
        <f t="array" ref="G41">IFERROR( INDEX(鍵盤設計表[台語音標], MATCH(TRUE, EXACT(注音編碼對照表[[#This Row],[方音符號]], 鍵盤設計表[方音符號]),0)), "")</f>
        <v>n</v>
      </c>
      <c r="H41" s="96" t="str" cm="1">
        <f t="array" ref="H41">IFERROR( INDEX(鍵盤設計表[注音二式], MATCH(TRUE, EXACT(注音編碼對照表[[#This Row],[方音符號]], 鍵盤設計表[方音符號]),0)),"")</f>
        <v>n</v>
      </c>
      <c r="I41" s="96" t="str" cm="1">
        <f t="array" ref="I41">IFERROR( INDEX(鍵盤設計表[閩拼方案], MATCH(TRUE, EXACT(注音編碼對照表[[#This Row],[方音符號]], 鍵盤設計表[方音符號]),0)), "")</f>
        <v>n</v>
      </c>
      <c r="J41" s="369" t="str" cm="1">
        <f t="array" ref="J41">IFERROR( INDEX(鍵盤設計表[聲韻調], MATCH(TRUE, EXACT(注音編碼對照表[[#This Row],[方音符號]], 鍵盤設計表[方音符號]),0)), "")</f>
        <v>韻</v>
      </c>
      <c r="L41"/>
      <c r="M41"/>
      <c r="N41"/>
      <c r="R41"/>
      <c r="S41"/>
      <c r="U41"/>
      <c r="X41"/>
    </row>
    <row r="42" spans="2:24" ht="32.25">
      <c r="B42" s="308">
        <f>ROW() - 2</f>
        <v>40</v>
      </c>
      <c r="C42" s="8" t="s">
        <v>115</v>
      </c>
      <c r="D42" s="371" t="s">
        <v>50</v>
      </c>
      <c r="E42" s="91" t="s">
        <v>94</v>
      </c>
      <c r="F42" s="305" t="s">
        <v>358</v>
      </c>
      <c r="G42" s="397" t="str" cm="1">
        <f t="array" ref="G42">IFERROR( INDEX(鍵盤設計表[台語音標], MATCH(TRUE, EXACT(注音編碼對照表[[#This Row],[方音符號]], 鍵盤設計表[方音符號]),0)), "")</f>
        <v>ng</v>
      </c>
      <c r="H42" s="96" t="str" cm="1">
        <f t="array" ref="H42">IFERROR( INDEX(鍵盤設計表[注音二式], MATCH(TRUE, EXACT(注音編碼對照表[[#This Row],[方音符號]], 鍵盤設計表[方音符號]),0)),"")</f>
        <v>ng</v>
      </c>
      <c r="I42" s="96" t="str" cm="1">
        <f t="array" ref="I42">IFERROR( INDEX(鍵盤設計表[閩拼方案], MATCH(TRUE, EXACT(注音編碼對照表[[#This Row],[方音符號]], 鍵盤設計表[方音符號]),0)), "")</f>
        <v>ng</v>
      </c>
      <c r="J42" s="369" t="str" cm="1">
        <f t="array" ref="J42">IFERROR( INDEX(鍵盤設計表[聲韻調], MATCH(TRUE, EXACT(注音編碼對照表[[#This Row],[方音符號]], 鍵盤設計表[方音符號]),0)), "")</f>
        <v>韻</v>
      </c>
      <c r="L42"/>
      <c r="M42"/>
      <c r="N42"/>
      <c r="R42"/>
      <c r="S42"/>
      <c r="U42"/>
      <c r="X42"/>
    </row>
    <row r="43" spans="2:24" ht="32.25">
      <c r="B43" s="308">
        <f>ROW() - 2</f>
        <v>41</v>
      </c>
      <c r="C43" s="8" t="s">
        <v>257</v>
      </c>
      <c r="D43" s="371" t="s">
        <v>69</v>
      </c>
      <c r="E43" s="91" t="s">
        <v>223</v>
      </c>
      <c r="F43" s="305" t="s">
        <v>70</v>
      </c>
      <c r="G43" s="397" t="str" cm="1">
        <f t="array" ref="G43">IFERROR( INDEX(鍵盤設計表[台語音標], MATCH(TRUE, EXACT(注音編碼對照表[[#This Row],[方音符號]], 鍵盤設計表[方音符號]),0)), "")</f>
        <v>am</v>
      </c>
      <c r="H43" s="96" t="str" cm="1">
        <f t="array" ref="H43">IFERROR( INDEX(鍵盤設計表[注音二式], MATCH(TRUE, EXACT(注音編碼對照表[[#This Row],[方音符號]], 鍵盤設計表[方音符號]),0)),"")</f>
        <v>am</v>
      </c>
      <c r="I43" s="96" t="str" cm="1">
        <f t="array" ref="I43">IFERROR( INDEX(鍵盤設計表[閩拼方案], MATCH(TRUE, EXACT(注音編碼對照表[[#This Row],[方音符號]], 鍵盤設計表[方音符號]),0)), "")</f>
        <v>am</v>
      </c>
      <c r="J43" s="369" t="str" cm="1">
        <f t="array" ref="J43">IFERROR( INDEX(鍵盤設計表[聲韻調], MATCH(TRUE, EXACT(注音編碼對照表[[#This Row],[方音符號]], 鍵盤設計表[方音符號]),0)), "")</f>
        <v>韻</v>
      </c>
      <c r="L43"/>
      <c r="M43"/>
      <c r="N43"/>
      <c r="R43"/>
      <c r="S43"/>
      <c r="U43"/>
      <c r="X43"/>
    </row>
    <row r="44" spans="2:24" ht="32.25">
      <c r="B44" s="308">
        <f>ROW() - 2</f>
        <v>42</v>
      </c>
      <c r="C44" s="8" t="s">
        <v>121</v>
      </c>
      <c r="D44" s="371" t="s">
        <v>67</v>
      </c>
      <c r="E44" s="91" t="s">
        <v>316</v>
      </c>
      <c r="F44" s="305" t="s">
        <v>68</v>
      </c>
      <c r="G44" s="397" t="str" cm="1">
        <f t="array" ref="G44">IFERROR( INDEX(鍵盤設計表[台語音標], MATCH(TRUE, EXACT(注音編碼對照表[[#This Row],[方音符號]], 鍵盤設計表[方音符號]),0)), "")</f>
        <v>an</v>
      </c>
      <c r="H44" s="96" t="str" cm="1">
        <f t="array" ref="H44">IFERROR( INDEX(鍵盤設計表[注音二式], MATCH(TRUE, EXACT(注音編碼對照表[[#This Row],[方音符號]], 鍵盤設計表[方音符號]),0)),"")</f>
        <v>an</v>
      </c>
      <c r="I44" s="96" t="str" cm="1">
        <f t="array" ref="I44">IFERROR( INDEX(鍵盤設計表[閩拼方案], MATCH(TRUE, EXACT(注音編碼對照表[[#This Row],[方音符號]], 鍵盤設計表[方音符號]),0)), "")</f>
        <v>an</v>
      </c>
      <c r="J44" s="369" t="str" cm="1">
        <f t="array" ref="J44">IFERROR( INDEX(鍵盤設計表[聲韻調], MATCH(TRUE, EXACT(注音編碼對照表[[#This Row],[方音符號]], 鍵盤設計表[方音符號]),0)), "")</f>
        <v>韻</v>
      </c>
      <c r="L44"/>
      <c r="M44"/>
      <c r="N44"/>
      <c r="R44"/>
      <c r="S44"/>
      <c r="U44"/>
      <c r="X44"/>
    </row>
    <row r="45" spans="2:24" ht="32.25">
      <c r="B45" s="308">
        <f>ROW() - 2</f>
        <v>43</v>
      </c>
      <c r="C45" s="8" t="s">
        <v>118</v>
      </c>
      <c r="D45" s="371" t="s">
        <v>65</v>
      </c>
      <c r="E45" s="91" t="s">
        <v>314</v>
      </c>
      <c r="F45" s="305" t="s">
        <v>349</v>
      </c>
      <c r="G45" s="397" t="str" cm="1">
        <f t="array" ref="G45">IFERROR( INDEX(鍵盤設計表[台語音標], MATCH(TRUE, EXACT(注音編碼對照表[[#This Row],[方音符號]], 鍵盤設計表[方音符號]),0)), "")</f>
        <v>ang</v>
      </c>
      <c r="H45" s="96" t="str" cm="1">
        <f t="array" ref="H45">IFERROR( INDEX(鍵盤設計表[注音二式], MATCH(TRUE, EXACT(注音編碼對照表[[#This Row],[方音符號]], 鍵盤設計表[方音符號]),0)),"")</f>
        <v>ang</v>
      </c>
      <c r="I45" s="96" t="str" cm="1">
        <f t="array" ref="I45">IFERROR( INDEX(鍵盤設計表[閩拼方案], MATCH(TRUE, EXACT(注音編碼對照表[[#This Row],[方音符號]], 鍵盤設計表[方音符號]),0)), "")</f>
        <v>ang</v>
      </c>
      <c r="J45" s="369" t="str" cm="1">
        <f t="array" ref="J45">IFERROR( INDEX(鍵盤設計表[聲韻調], MATCH(TRUE, EXACT(注音編碼對照表[[#This Row],[方音符號]], 鍵盤設計表[方音符號]),0)), "")</f>
        <v>韻</v>
      </c>
      <c r="L45"/>
      <c r="M45"/>
      <c r="N45"/>
      <c r="R45"/>
      <c r="S45"/>
      <c r="U45"/>
      <c r="X45"/>
    </row>
    <row r="46" spans="2:24" ht="32.25">
      <c r="B46" s="308">
        <f>ROW() - 2</f>
        <v>44</v>
      </c>
      <c r="C46" s="8" t="s">
        <v>139</v>
      </c>
      <c r="D46" s="374" t="s">
        <v>86</v>
      </c>
      <c r="E46" s="91" t="s">
        <v>283</v>
      </c>
      <c r="F46" s="305" t="s">
        <v>87</v>
      </c>
      <c r="G46" s="397" t="str" cm="1">
        <f t="array" ref="G46">IFERROR( INDEX(鍵盤設計表[台語音標], MATCH(TRUE, EXACT(注音編碼對照表[[#This Row],[方音符號]], 鍵盤設計表[方音符號]),0)), "")</f>
        <v>om</v>
      </c>
      <c r="H46" s="96" t="str" cm="1">
        <f t="array" ref="H46">IFERROR( INDEX(鍵盤設計表[注音二式], MATCH(TRUE, EXACT(注音編碼對照表[[#This Row],[方音符號]], 鍵盤設計表[方音符號]),0)),"")</f>
        <v>om</v>
      </c>
      <c r="I46" s="96" t="str" cm="1">
        <f t="array" ref="I46">IFERROR( INDEX(鍵盤設計表[閩拼方案], MATCH(TRUE, EXACT(注音編碼對照表[[#This Row],[方音符號]], 鍵盤設計表[方音符號]),0)), "")</f>
        <v>om</v>
      </c>
      <c r="J46" s="369" t="str" cm="1">
        <f t="array" ref="J46">IFERROR( INDEX(鍵盤設計表[聲韻調], MATCH(TRUE, EXACT(注音編碼對照表[[#This Row],[方音符號]], 鍵盤設計表[方音符號]),0)), "")</f>
        <v>韻</v>
      </c>
      <c r="L46"/>
      <c r="M46"/>
      <c r="N46"/>
      <c r="R46"/>
      <c r="S46"/>
      <c r="U46"/>
      <c r="X46"/>
    </row>
    <row r="47" spans="2:24" ht="32.25">
      <c r="B47" s="308">
        <f>ROW() - 2</f>
        <v>45</v>
      </c>
      <c r="C47" s="8" t="s">
        <v>42</v>
      </c>
      <c r="D47" s="371" t="s">
        <v>71</v>
      </c>
      <c r="E47" s="91" t="s">
        <v>226</v>
      </c>
      <c r="F47" s="305" t="s">
        <v>356</v>
      </c>
      <c r="G47" s="397" t="str" cm="1">
        <f t="array" ref="G47">IFERROR( INDEX(鍵盤設計表[台語音標], MATCH(TRUE, EXACT(注音編碼對照表[[#This Row],[方音符號]], 鍵盤設計表[方音符號]),0)), "")</f>
        <v>ong</v>
      </c>
      <c r="H47" s="96" t="str" cm="1">
        <f t="array" ref="H47">IFERROR( INDEX(鍵盤設計表[注音二式], MATCH(TRUE, EXACT(注音編碼對照表[[#This Row],[方音符號]], 鍵盤設計表[方音符號]),0)),"")</f>
        <v>ong</v>
      </c>
      <c r="I47" s="96" t="str" cm="1">
        <f t="array" ref="I47">IFERROR( INDEX(鍵盤設計表[閩拼方案], MATCH(TRUE, EXACT(注音編碼對照表[[#This Row],[方音符號]], 鍵盤設計表[方音符號]),0)), "")</f>
        <v>ong</v>
      </c>
      <c r="J47" s="369" t="str" cm="1">
        <f t="array" ref="J47">IFERROR( INDEX(鍵盤設計表[聲韻調], MATCH(TRUE, EXACT(注音編碼對照表[[#This Row],[方音符號]], 鍵盤設計表[方音符號]),0)), "")</f>
        <v>韻</v>
      </c>
      <c r="L47"/>
      <c r="M47"/>
      <c r="N47"/>
      <c r="R47"/>
      <c r="S47"/>
      <c r="U47"/>
      <c r="X47"/>
    </row>
    <row r="48" spans="2:24" ht="32.25">
      <c r="B48" s="308">
        <f>ROW() - 2</f>
        <v>46</v>
      </c>
      <c r="C48" s="8" t="s">
        <v>109</v>
      </c>
      <c r="D48" s="371" t="s">
        <v>89</v>
      </c>
      <c r="E48" s="91" t="s">
        <v>177</v>
      </c>
      <c r="F48" s="310" t="s">
        <v>359</v>
      </c>
      <c r="G48" s="397" t="str" cm="1">
        <f t="array" ref="G48">IFERROR( INDEX(鍵盤設計表[台語音標], MATCH(TRUE, EXACT(注音編碼對照表[[#This Row],[方音符號]], 鍵盤設計表[方音符號]),0)), "")</f>
        <v>p</v>
      </c>
      <c r="H48" s="96" t="str" cm="1">
        <f t="array" ref="H48">IFERROR( INDEX(鍵盤設計表[注音二式], MATCH(TRUE, EXACT(注音編碼對照表[[#This Row],[方音符號]], 鍵盤設計表[方音符號]),0)),"")</f>
        <v>p</v>
      </c>
      <c r="I48" s="96" t="str" cm="1">
        <f t="array" ref="I48">IFERROR( INDEX(鍵盤設計表[閩拼方案], MATCH(TRUE, EXACT(注音編碼對照表[[#This Row],[方音符號]], 鍵盤設計表[方音符號]),0)), "")</f>
        <v>p</v>
      </c>
      <c r="J48" s="369" t="str" cm="1">
        <f t="array" ref="J48">IFERROR( INDEX(鍵盤設計表[聲韻調], MATCH(TRUE, EXACT(注音編碼對照表[[#This Row],[方音符號]], 鍵盤設計表[方音符號]),0)), "")</f>
        <v>韻尾</v>
      </c>
      <c r="L48"/>
      <c r="M48"/>
      <c r="N48"/>
      <c r="R48"/>
      <c r="S48"/>
      <c r="U48"/>
      <c r="X48"/>
    </row>
    <row r="49" spans="2:24" ht="32.25">
      <c r="B49" s="308">
        <f>ROW() - 2</f>
        <v>47</v>
      </c>
      <c r="C49" s="8" t="s">
        <v>15</v>
      </c>
      <c r="D49" s="371" t="s">
        <v>90</v>
      </c>
      <c r="E49" s="91" t="s">
        <v>166</v>
      </c>
      <c r="F49" s="310" t="s">
        <v>360</v>
      </c>
      <c r="G49" s="397" t="str" cm="1">
        <f t="array" ref="G49">IFERROR( INDEX(鍵盤設計表[台語音標], MATCH(TRUE, EXACT(注音編碼對照表[[#This Row],[方音符號]], 鍵盤設計表[方音符號]),0)), "")</f>
        <v>t</v>
      </c>
      <c r="H49" s="96" t="str" cm="1">
        <f t="array" ref="H49">IFERROR( INDEX(鍵盤設計表[注音二式], MATCH(TRUE, EXACT(注音編碼對照表[[#This Row],[方音符號]], 鍵盤設計表[方音符號]),0)),"")</f>
        <v>t</v>
      </c>
      <c r="I49" s="96" t="str" cm="1">
        <f t="array" ref="I49">IFERROR( INDEX(鍵盤設計表[閩拼方案], MATCH(TRUE, EXACT(注音編碼對照表[[#This Row],[方音符號]], 鍵盤設計表[方音符號]),0)), "")</f>
        <v>t</v>
      </c>
      <c r="J49" s="369" t="str" cm="1">
        <f t="array" ref="J49">IFERROR( INDEX(鍵盤設計表[聲韻調], MATCH(TRUE, EXACT(注音編碼對照表[[#This Row],[方音符號]], 鍵盤設計表[方音符號]),0)), "")</f>
        <v>韻尾</v>
      </c>
      <c r="L49"/>
      <c r="M49"/>
      <c r="N49"/>
      <c r="R49"/>
      <c r="S49"/>
      <c r="U49"/>
      <c r="X49"/>
    </row>
    <row r="50" spans="2:24" ht="32.25">
      <c r="B50" s="308">
        <f>ROW() - 2</f>
        <v>48</v>
      </c>
      <c r="C50" s="8" t="s">
        <v>107</v>
      </c>
      <c r="D50" s="371" t="s">
        <v>91</v>
      </c>
      <c r="E50" s="91" t="s">
        <v>157</v>
      </c>
      <c r="F50" s="310" t="s">
        <v>361</v>
      </c>
      <c r="G50" s="397" t="str" cm="1">
        <f t="array" ref="G50">IFERROR( INDEX(鍵盤設計表[台語音標], MATCH(TRUE, EXACT(注音編碼對照表[[#This Row],[方音符號]], 鍵盤設計表[方音符號]),0)), "")</f>
        <v>k</v>
      </c>
      <c r="H50" s="96" t="str" cm="1">
        <f t="array" ref="H50">IFERROR( INDEX(鍵盤設計表[注音二式], MATCH(TRUE, EXACT(注音編碼對照表[[#This Row],[方音符號]], 鍵盤設計表[方音符號]),0)),"")</f>
        <v>k</v>
      </c>
      <c r="I50" s="96" t="str" cm="1">
        <f t="array" ref="I50">IFERROR( INDEX(鍵盤設計表[閩拼方案], MATCH(TRUE, EXACT(注音編碼對照表[[#This Row],[方音符號]], 鍵盤設計表[方音符號]),0)), "")</f>
        <v>k</v>
      </c>
      <c r="J50" s="369" t="str" cm="1">
        <f t="array" ref="J50">IFERROR( INDEX(鍵盤設計表[聲韻調], MATCH(TRUE, EXACT(注音編碼對照表[[#This Row],[方音符號]], 鍵盤設計表[方音符號]),0)), "")</f>
        <v>韻尾</v>
      </c>
      <c r="L50"/>
      <c r="M50"/>
      <c r="N50"/>
      <c r="R50"/>
      <c r="S50"/>
      <c r="U50"/>
      <c r="X50"/>
    </row>
    <row r="51" spans="2:24" ht="32.25">
      <c r="B51" s="308">
        <f>ROW() - 2</f>
        <v>49</v>
      </c>
      <c r="C51" s="8" t="s">
        <v>106</v>
      </c>
      <c r="D51" s="371" t="s">
        <v>325</v>
      </c>
      <c r="E51" s="91" t="s">
        <v>292</v>
      </c>
      <c r="F51" s="310" t="s">
        <v>362</v>
      </c>
      <c r="G51" s="397" t="str" cm="1">
        <f t="array" ref="G51">IFERROR( INDEX(鍵盤設計表[台語音標], MATCH(TRUE, EXACT(注音編碼對照表[[#This Row],[方音符號]], 鍵盤設計表[方音符號]),0)), "")</f>
        <v>h</v>
      </c>
      <c r="H51" s="96" t="str" cm="1">
        <f t="array" ref="H51">IFERROR( INDEX(鍵盤設計表[注音二式], MATCH(TRUE, EXACT(注音編碼對照表[[#This Row],[方音符號]], 鍵盤設計表[方音符號]),0)),"")</f>
        <v>h</v>
      </c>
      <c r="I51" s="96" t="str" cm="1">
        <f t="array" ref="I51">IFERROR( INDEX(鍵盤設計表[閩拼方案], MATCH(TRUE, EXACT(注音編碼對照表[[#This Row],[方音符號]], 鍵盤設計表[方音符號]),0)), "")</f>
        <v>h</v>
      </c>
      <c r="J51" s="369" t="str" cm="1">
        <f t="array" ref="J51">IFERROR( INDEX(鍵盤設計表[聲韻調], MATCH(TRUE, EXACT(注音編碼對照表[[#This Row],[方音符號]], 鍵盤設計表[方音符號]),0)), "")</f>
        <v>韻尾</v>
      </c>
      <c r="U51"/>
      <c r="X51"/>
    </row>
    <row r="52" spans="2:24" ht="32.25">
      <c r="B52" s="308">
        <f>ROW() - 2</f>
        <v>50</v>
      </c>
      <c r="C52" s="319" t="s">
        <v>247</v>
      </c>
      <c r="D52" s="371" t="s">
        <v>262</v>
      </c>
      <c r="E52" s="91">
        <v>1</v>
      </c>
      <c r="F52" s="305" t="s">
        <v>689</v>
      </c>
      <c r="G52" s="397">
        <v>1</v>
      </c>
      <c r="H52" s="96">
        <v>1</v>
      </c>
      <c r="I52" s="96">
        <v>1</v>
      </c>
      <c r="J52" s="370" t="str" cm="1">
        <f t="array" ref="J52">IFERROR( INDEX(鍵盤設計表[聲韻調], MATCH(TRUE, EXACT(注音編碼對照表[[#This Row],[方音符號]], 鍵盤設計表[方音符號]),0)), "")</f>
        <v>調</v>
      </c>
      <c r="U52"/>
      <c r="X52"/>
    </row>
    <row r="53" spans="2:24" ht="32.25">
      <c r="B53" s="308">
        <f>ROW() - 2</f>
        <v>51</v>
      </c>
      <c r="C53" s="8">
        <v>5</v>
      </c>
      <c r="D53" s="371" t="s">
        <v>231</v>
      </c>
      <c r="E53" s="91">
        <v>6</v>
      </c>
      <c r="F53" s="305" t="s">
        <v>691</v>
      </c>
      <c r="G53" s="397">
        <v>7</v>
      </c>
      <c r="H53" s="96">
        <v>7</v>
      </c>
      <c r="I53" s="96">
        <v>6</v>
      </c>
      <c r="J53" s="369" t="s">
        <v>546</v>
      </c>
      <c r="U53"/>
      <c r="X53"/>
    </row>
    <row r="54" spans="2:24" ht="32.25">
      <c r="B54" s="308">
        <f>ROW() - 2</f>
        <v>52</v>
      </c>
      <c r="C54" s="8">
        <v>3</v>
      </c>
      <c r="D54" s="371" t="s">
        <v>644</v>
      </c>
      <c r="E54" s="91">
        <v>5</v>
      </c>
      <c r="F54" s="305" t="s">
        <v>692</v>
      </c>
      <c r="G54" s="397">
        <v>3</v>
      </c>
      <c r="H54" s="96">
        <v>3</v>
      </c>
      <c r="I54" s="96">
        <v>5</v>
      </c>
      <c r="J54" s="369" t="s">
        <v>546</v>
      </c>
      <c r="U54"/>
      <c r="X54"/>
    </row>
    <row r="55" spans="2:24" ht="32.25">
      <c r="B55" s="308">
        <f>ROW() - 2</f>
        <v>53</v>
      </c>
      <c r="C55" s="8">
        <v>4</v>
      </c>
      <c r="D55" s="371" t="s">
        <v>264</v>
      </c>
      <c r="E55" s="91">
        <v>3</v>
      </c>
      <c r="F55" s="305" t="s">
        <v>693</v>
      </c>
      <c r="G55" s="397">
        <v>2</v>
      </c>
      <c r="H55" s="96">
        <v>2</v>
      </c>
      <c r="I55" s="96">
        <v>3</v>
      </c>
      <c r="J55" s="369" t="s">
        <v>546</v>
      </c>
      <c r="U55"/>
      <c r="X55"/>
    </row>
    <row r="56" spans="2:24" ht="32.25">
      <c r="B56" s="308">
        <f>ROW() - 2</f>
        <v>54</v>
      </c>
      <c r="C56" s="8">
        <v>6</v>
      </c>
      <c r="D56" s="371" t="s">
        <v>75</v>
      </c>
      <c r="E56" s="91">
        <v>2</v>
      </c>
      <c r="F56" s="305" t="s">
        <v>694</v>
      </c>
      <c r="G56" s="397" cm="1">
        <f t="array" ref="G56">IFERROR( INDEX(鍵盤設計表[台語音標], MATCH(TRUE, EXACT(注音編碼對照表[[#This Row],[方音符號]], 鍵盤設計表[方音符號]),0)), "")</f>
        <v>5</v>
      </c>
      <c r="H56" s="96" cm="1">
        <f t="array" ref="H56">IFERROR( INDEX(鍵盤設計表[注音二式], MATCH(TRUE, EXACT(注音編碼對照表[[#This Row],[方音符號]], 鍵盤設計表[方音符號]),0)),"")</f>
        <v>5</v>
      </c>
      <c r="I56" s="96" cm="1">
        <f t="array" ref="I56">IFERROR( INDEX(鍵盤設計表[閩拼方案], MATCH(TRUE, EXACT(注音編碼對照表[[#This Row],[方音符號]], 鍵盤設計表[方音符號]),0)), "")</f>
        <v>2</v>
      </c>
      <c r="J56" s="369" t="str" cm="1">
        <f t="array" ref="J56">IFERROR( INDEX(鍵盤設計表[聲韻調], MATCH(TRUE, EXACT(注音編碼對照表[[#This Row],[方音符號]], 鍵盤設計表[方音符號]),0)), "")</f>
        <v>調</v>
      </c>
      <c r="U56"/>
      <c r="X56"/>
    </row>
    <row r="57" spans="2:24" ht="32.25">
      <c r="B57" s="308">
        <f>ROW() - 2</f>
        <v>55</v>
      </c>
      <c r="C57" s="8" t="s">
        <v>380</v>
      </c>
      <c r="D57" s="371" t="s">
        <v>262</v>
      </c>
      <c r="E57" s="91">
        <v>7</v>
      </c>
      <c r="F57" s="305" t="s">
        <v>695</v>
      </c>
      <c r="G57" s="397">
        <v>4</v>
      </c>
      <c r="H57" s="96">
        <v>4</v>
      </c>
      <c r="I57" s="96">
        <v>7</v>
      </c>
      <c r="J57" s="369" t="str" cm="1">
        <f t="array" ref="J57">IFERROR( INDEX(鍵盤設計表[聲韻調], MATCH(TRUE, EXACT(注音編碼對照表[[#This Row],[方音符號]], 鍵盤設計表[方音符號]),0)), "")</f>
        <v>調</v>
      </c>
      <c r="U57"/>
      <c r="X57"/>
    </row>
    <row r="58" spans="2:24" ht="32.25">
      <c r="B58" s="308">
        <f>ROW() - 2</f>
        <v>56</v>
      </c>
      <c r="C58" s="8" t="s">
        <v>248</v>
      </c>
      <c r="D58" s="371" t="s">
        <v>75</v>
      </c>
      <c r="E58" s="91">
        <v>8</v>
      </c>
      <c r="F58" s="305" t="s">
        <v>696</v>
      </c>
      <c r="G58" s="397">
        <v>8</v>
      </c>
      <c r="H58" s="96">
        <v>8</v>
      </c>
      <c r="I58" s="96">
        <v>8</v>
      </c>
      <c r="J58" s="369" t="str" cm="1">
        <f t="array" ref="J58">IFERROR( INDEX(鍵盤設計表[聲韻調], MATCH(TRUE, EXACT(注音編碼對照表[[#This Row],[方音符號]], 鍵盤設計表[方音符號]),0)), "")</f>
        <v>調</v>
      </c>
      <c r="U58"/>
      <c r="X58"/>
    </row>
    <row r="59" spans="2:24" ht="32.25">
      <c r="B59" s="308">
        <f>ROW() - 2</f>
        <v>57</v>
      </c>
      <c r="C59" s="8">
        <v>7</v>
      </c>
      <c r="D59" s="371" t="s">
        <v>77</v>
      </c>
      <c r="E59" s="91">
        <v>0</v>
      </c>
      <c r="F59" s="389"/>
      <c r="G59" s="397" cm="1">
        <f t="array" ref="G59">IFERROR( INDEX(鍵盤設計表[台語音標], MATCH(TRUE, EXACT(注音編碼對照表[[#This Row],[方音符號]], 鍵盤設計表[方音符號]),0)), "")</f>
        <v>0</v>
      </c>
      <c r="H59" s="96" cm="1">
        <f t="array" ref="H59">IFERROR( INDEX(鍵盤設計表[注音二式], MATCH(TRUE, EXACT(注音編碼對照表[[#This Row],[方音符號]], 鍵盤設計表[方音符號]),0)),"")</f>
        <v>0</v>
      </c>
      <c r="I59" s="96" cm="1">
        <f t="array" ref="I59">IFERROR( INDEX(鍵盤設計表[閩拼方案], MATCH(TRUE, EXACT(注音編碼對照表[[#This Row],[方音符號]], 鍵盤設計表[方音符號]),0)), "")</f>
        <v>0</v>
      </c>
      <c r="J59" s="369" t="str" cm="1">
        <f t="array" ref="J59">IFERROR( INDEX(鍵盤設計表[聲韻調], MATCH(TRUE, EXACT(注音編碼對照表[[#This Row],[方音符號]], 鍵盤設計表[方音符號]),0)), "")</f>
        <v>調</v>
      </c>
      <c r="U59"/>
      <c r="X59"/>
    </row>
    <row r="60" spans="2:24" ht="32.25">
      <c r="B60" s="311">
        <f>ROW() - 2</f>
        <v>58</v>
      </c>
      <c r="C60" s="8" t="s">
        <v>306</v>
      </c>
      <c r="D60" s="374" t="s">
        <v>596</v>
      </c>
      <c r="E60" s="91" t="s">
        <v>232</v>
      </c>
      <c r="F60" s="305"/>
      <c r="G60" s="397" t="str" cm="1">
        <f t="array" ref="G60">IFERROR( INDEX(鍵盤設計表[台語音標], MATCH(TRUE, EXACT(注音編碼對照表[[#This Row],[方音符號]], 鍵盤設計表[方音符號]),0)), "")</f>
        <v>[48]</v>
      </c>
      <c r="H60" s="96" t="str" cm="1">
        <f t="array" ref="H60">IFERROR( INDEX(鍵盤設計表[注音二式], MATCH(TRUE, EXACT(注音編碼對照表[[#This Row],[方音符號]], 鍵盤設計表[方音符號]),0)),"")</f>
        <v>[48]</v>
      </c>
      <c r="I60" s="96" t="str" cm="1">
        <f t="array" ref="I60">IFERROR( INDEX(鍵盤設計表[閩拼方案], MATCH(TRUE, EXACT(注音編碼對照表[[#This Row],[方音符號]], 鍵盤設計表[方音符號]),0)), "")</f>
        <v>[78]</v>
      </c>
      <c r="J60" s="369" t="str" cm="1">
        <f t="array" ref="J60">IFERROR( INDEX(鍵盤設計表[聲韻調], MATCH(TRUE, EXACT(注音編碼對照表[[#This Row],[方音符號]], 鍵盤設計表[方音符號]),0)), "")</f>
        <v>鍵</v>
      </c>
      <c r="L60"/>
      <c r="M60"/>
      <c r="N60"/>
      <c r="R60"/>
      <c r="S60"/>
      <c r="U60"/>
      <c r="X60"/>
    </row>
    <row r="61" spans="2:24" ht="32.25">
      <c r="B61" s="311">
        <f>ROW() - 2</f>
        <v>59</v>
      </c>
      <c r="C61" s="8" t="s">
        <v>253</v>
      </c>
      <c r="D61" s="374" t="s">
        <v>324</v>
      </c>
      <c r="E61" s="91" t="s">
        <v>125</v>
      </c>
      <c r="F61" s="305"/>
      <c r="G61" s="397" t="str" cm="1">
        <f t="array" ref="G61">IFERROR( INDEX(鍵盤設計表[台語音標], MATCH(TRUE, EXACT(注音編碼對照表[[#This Row],[方音符號]], 鍵盤設計表[方音符號]),0)), "")</f>
        <v>nn</v>
      </c>
      <c r="H61" s="96" t="str" cm="1">
        <f t="array" ref="H61">IFERROR( INDEX(鍵盤設計表[注音二式], MATCH(TRUE, EXACT(注音編碼對照表[[#This Row],[方音符號]], 鍵盤設計表[方音符號]),0)),"")</f>
        <v>nn</v>
      </c>
      <c r="I61" s="96" t="str" cm="1">
        <f t="array" ref="I61">IFERROR( INDEX(鍵盤設計表[閩拼方案], MATCH(TRUE, EXACT(注音編碼對照表[[#This Row],[方音符號]], 鍵盤設計表[方音符號]),0)), "")</f>
        <v>nn</v>
      </c>
      <c r="J61" s="369" t="str" cm="1">
        <f t="array" ref="J61">IFERROR( INDEX(鍵盤設計表[聲韻調], MATCH(TRUE, EXACT(注音編碼對照表[[#This Row],[方音符號]], 鍵盤設計表[方音符號]),0)), "")</f>
        <v>鍵</v>
      </c>
      <c r="L61"/>
      <c r="M61"/>
      <c r="N61"/>
      <c r="R61"/>
      <c r="S61"/>
      <c r="U61"/>
      <c r="X61"/>
    </row>
    <row r="62" spans="2:24" ht="32.25">
      <c r="B62" s="9">
        <f>ROW() - 2</f>
        <v>60</v>
      </c>
      <c r="C62" s="8" t="s">
        <v>114</v>
      </c>
      <c r="D62" s="375" t="s">
        <v>594</v>
      </c>
      <c r="E62" s="91" t="s">
        <v>147</v>
      </c>
      <c r="F62" s="92"/>
      <c r="G62" s="397" t="str" cm="1">
        <f t="array" ref="G62">IFERROR( INDEX(鍵盤設計表[台語音標], MATCH(TRUE, EXACT(注音編碼對照表[[#This Row],[方音符號]], 鍵盤設計表[方音符號]),0)), "")</f>
        <v>*nn</v>
      </c>
      <c r="H62" s="96" t="str" cm="1">
        <f t="array" ref="H62">IFERROR( INDEX(鍵盤設計表[注音二式], MATCH(TRUE, EXACT(注音編碼對照表[[#This Row],[方音符號]], 鍵盤設計表[方音符號]),0)),"")</f>
        <v>*nn</v>
      </c>
      <c r="I62" s="96" t="str" cm="1">
        <f t="array" ref="I62">IFERROR( INDEX(鍵盤設計表[閩拼方案], MATCH(TRUE, EXACT(注音編碼對照表[[#This Row],[方音符號]], 鍵盤設計表[方音符號]),0)), "")</f>
        <v>*nn</v>
      </c>
      <c r="J62" s="369" t="str" cm="1">
        <f t="array" ref="J62">IFERROR( INDEX(鍵盤設計表[聲韻調], MATCH(TRUE, EXACT(注音編碼對照表[[#This Row],[方音符號]], 鍵盤設計表[方音符號]),0)), "")</f>
        <v>鍵</v>
      </c>
      <c r="K62" s="89"/>
      <c r="U62"/>
      <c r="X62"/>
    </row>
    <row r="63" spans="2:24">
      <c r="J63"/>
      <c r="U63"/>
      <c r="X63"/>
    </row>
    <row r="64" spans="2:24">
      <c r="G64" s="90"/>
      <c r="U64"/>
      <c r="X64"/>
    </row>
    <row r="65" spans="2:24">
      <c r="G65" s="90"/>
      <c r="U65"/>
      <c r="X65"/>
    </row>
    <row r="66" spans="2:24" ht="22.5">
      <c r="B66" s="160"/>
      <c r="C66" s="266"/>
      <c r="D66" s="160"/>
      <c r="E66" s="160"/>
      <c r="F66" s="160"/>
      <c r="G66" s="160"/>
      <c r="H66" s="160"/>
      <c r="I66" s="160"/>
      <c r="R66"/>
      <c r="S66"/>
      <c r="U66"/>
      <c r="X66"/>
    </row>
    <row r="67" spans="2:24">
      <c r="R67"/>
      <c r="S67"/>
      <c r="U67"/>
      <c r="X67"/>
    </row>
    <row r="68" spans="2:24">
      <c r="R68"/>
      <c r="S68"/>
      <c r="U68"/>
      <c r="X68"/>
    </row>
    <row r="69" spans="2:24">
      <c r="R69"/>
      <c r="S69"/>
      <c r="U69"/>
      <c r="X69"/>
    </row>
    <row r="70" spans="2:24">
      <c r="R70"/>
      <c r="S70"/>
      <c r="U70"/>
      <c r="X70"/>
    </row>
    <row r="71" spans="2:24">
      <c r="G71" s="90"/>
      <c r="R71"/>
      <c r="S71"/>
      <c r="U71"/>
      <c r="X71"/>
    </row>
    <row r="72" spans="2:24">
      <c r="G72" s="90"/>
      <c r="R72"/>
      <c r="S72"/>
      <c r="U72"/>
      <c r="X72"/>
    </row>
    <row r="73" spans="2:24">
      <c r="G73" s="90"/>
      <c r="R73"/>
      <c r="S73"/>
      <c r="U73"/>
      <c r="X73"/>
    </row>
    <row r="74" spans="2:24">
      <c r="G74" s="90"/>
      <c r="R74"/>
      <c r="S74"/>
      <c r="U74"/>
      <c r="X74"/>
    </row>
    <row r="75" spans="2:24">
      <c r="G75" s="90"/>
      <c r="R75"/>
      <c r="S75"/>
      <c r="U75"/>
      <c r="X75"/>
    </row>
    <row r="76" spans="2:24">
      <c r="G76" s="90"/>
      <c r="R76"/>
      <c r="S76"/>
      <c r="U76"/>
      <c r="X76"/>
    </row>
    <row r="77" spans="2:24">
      <c r="G77" s="90"/>
      <c r="R77"/>
      <c r="S77"/>
      <c r="U77"/>
      <c r="X77"/>
    </row>
    <row r="78" spans="2:24">
      <c r="G78" s="90"/>
      <c r="R78"/>
      <c r="S78"/>
      <c r="U78"/>
      <c r="X78"/>
    </row>
    <row r="79" spans="2:24">
      <c r="G79" s="90"/>
      <c r="R79"/>
      <c r="S79"/>
      <c r="U79"/>
      <c r="X79"/>
    </row>
    <row r="80" spans="2:24">
      <c r="G80" s="90"/>
      <c r="R80"/>
      <c r="S80"/>
      <c r="U80"/>
      <c r="X80"/>
    </row>
    <row r="81" spans="7:24">
      <c r="G81" s="90"/>
      <c r="R81"/>
      <c r="S81"/>
      <c r="U81"/>
      <c r="X81"/>
    </row>
    <row r="82" spans="7:24">
      <c r="R82"/>
      <c r="S82"/>
      <c r="U82"/>
      <c r="X82"/>
    </row>
    <row r="83" spans="7:24">
      <c r="G83" s="90"/>
      <c r="R83"/>
      <c r="S83"/>
      <c r="U83"/>
      <c r="X83"/>
    </row>
    <row r="84" spans="7:24">
      <c r="G84" s="90"/>
      <c r="R84"/>
      <c r="S84"/>
      <c r="U84"/>
      <c r="X84"/>
    </row>
    <row r="85" spans="7:24">
      <c r="R85"/>
      <c r="S85"/>
      <c r="U85"/>
      <c r="X85"/>
    </row>
    <row r="86" spans="7:24">
      <c r="G86" s="90"/>
      <c r="R86"/>
      <c r="S86"/>
      <c r="U86"/>
      <c r="X86"/>
    </row>
    <row r="87" spans="7:24">
      <c r="G87" s="90"/>
      <c r="R87"/>
      <c r="S87"/>
      <c r="U87"/>
      <c r="X87"/>
    </row>
    <row r="88" spans="7:24">
      <c r="G88" s="90"/>
      <c r="R88"/>
      <c r="S88"/>
      <c r="U88"/>
      <c r="X88"/>
    </row>
    <row r="89" spans="7:24">
      <c r="G89" s="90"/>
      <c r="R89"/>
      <c r="S89"/>
      <c r="U89"/>
      <c r="X89"/>
    </row>
    <row r="90" spans="7:24">
      <c r="R90"/>
      <c r="S90"/>
      <c r="U90"/>
      <c r="X90"/>
    </row>
    <row r="91" spans="7:24">
      <c r="R91"/>
      <c r="S91"/>
      <c r="U91"/>
      <c r="X91"/>
    </row>
    <row r="92" spans="7:24">
      <c r="R92"/>
      <c r="S92"/>
      <c r="U92"/>
      <c r="X92"/>
    </row>
    <row r="93" spans="7:24">
      <c r="R93"/>
      <c r="S93"/>
      <c r="U93"/>
      <c r="X93"/>
    </row>
    <row r="94" spans="7:24">
      <c r="R94"/>
      <c r="S94"/>
      <c r="U94"/>
      <c r="X94"/>
    </row>
    <row r="95" spans="7:24">
      <c r="R95"/>
      <c r="S95"/>
      <c r="U95"/>
      <c r="X95"/>
    </row>
    <row r="96" spans="7:24">
      <c r="R96"/>
      <c r="S96"/>
      <c r="U96"/>
      <c r="X96"/>
    </row>
    <row r="97" spans="18:24">
      <c r="R97"/>
      <c r="S97"/>
      <c r="U97"/>
      <c r="X97"/>
    </row>
    <row r="98" spans="18:24">
      <c r="R98"/>
      <c r="S98"/>
      <c r="U98"/>
      <c r="X98"/>
    </row>
    <row r="99" spans="18:24">
      <c r="R99"/>
      <c r="S99"/>
      <c r="U99"/>
      <c r="X99"/>
    </row>
    <row r="100" spans="18:24">
      <c r="R100"/>
      <c r="S100"/>
      <c r="U100"/>
      <c r="X100"/>
    </row>
    <row r="101" spans="18:24">
      <c r="R101"/>
      <c r="S101"/>
      <c r="U101"/>
      <c r="X101"/>
    </row>
    <row r="102" spans="18:24">
      <c r="R102"/>
      <c r="S102"/>
      <c r="U102"/>
      <c r="X102"/>
    </row>
  </sheetData>
  <phoneticPr fontId="7" type="noConversion"/>
  <conditionalFormatting sqref="C3:J62">
    <cfRule type="cellIs" dxfId="13" priority="4" operator="equal">
      <formula>CHAR(32)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E999-75E3-4E19-90D8-DB3A33B9C175}">
  <sheetPr>
    <tabColor rgb="FFFF0000"/>
  </sheetPr>
  <dimension ref="A1:DG108"/>
  <sheetViews>
    <sheetView showGridLines="0" zoomScale="70" zoomScaleNormal="70" workbookViewId="0">
      <selection activeCell="AV15" sqref="AV15"/>
    </sheetView>
  </sheetViews>
  <sheetFormatPr defaultColWidth="7.19921875" defaultRowHeight="36" outlineLevelRow="1"/>
  <cols>
    <col min="1" max="58" width="6.59765625" style="14" customWidth="1"/>
    <col min="59" max="63" width="5.796875" style="14" customWidth="1"/>
    <col min="64" max="65" width="7.19921875" style="14"/>
    <col min="66" max="66" width="6.19921875" style="14" customWidth="1"/>
    <col min="67" max="68" width="13.69921875" style="345" customWidth="1"/>
    <col min="69" max="69" width="13.69921875" style="346" customWidth="1"/>
    <col min="70" max="70" width="13.69921875" style="345" customWidth="1"/>
    <col min="71" max="71" width="13.69921875" style="347" customWidth="1"/>
    <col min="72" max="72" width="13.69921875" style="345" customWidth="1"/>
    <col min="73" max="73" width="7.19921875" style="14"/>
    <col min="74" max="74" width="62.296875" style="122" customWidth="1"/>
    <col min="75" max="75" width="23.796875" style="21" bestFit="1" customWidth="1"/>
    <col min="76" max="76" width="6.19921875" style="14" customWidth="1"/>
    <col min="77" max="77" width="15.19921875" style="14" customWidth="1"/>
    <col min="78" max="78" width="15.19921875" customWidth="1"/>
    <col min="79" max="82" width="15.19921875" style="14" customWidth="1"/>
    <col min="83" max="83" width="7.19921875" style="14"/>
    <col min="84" max="84" width="75.19921875" style="242" customWidth="1"/>
    <col min="85" max="85" width="6.19921875" style="14" customWidth="1"/>
    <col min="86" max="86" width="15.19921875" style="14" customWidth="1"/>
    <col min="87" max="87" width="15.19921875" customWidth="1"/>
    <col min="88" max="91" width="15.19921875" style="14" customWidth="1"/>
    <col min="92" max="92" width="7.19921875" style="14"/>
    <col min="93" max="93" width="69.8984375" style="242" bestFit="1" customWidth="1"/>
    <col min="94" max="94" width="6.19921875" style="14" customWidth="1"/>
    <col min="95" max="95" width="15.19921875" customWidth="1"/>
    <col min="96" max="100" width="15.19921875" style="14" customWidth="1"/>
    <col min="101" max="101" width="7.19921875" style="14"/>
    <col min="102" max="102" width="72.59765625" style="242" bestFit="1" customWidth="1"/>
    <col min="103" max="103" width="6.19921875" style="14" customWidth="1"/>
    <col min="104" max="104" width="15.19921875" customWidth="1"/>
    <col min="105" max="109" width="15.19921875" style="14" customWidth="1"/>
    <col min="110" max="110" width="7.19921875" style="14"/>
    <col min="111" max="111" width="67.09765625" style="242" bestFit="1" customWidth="1"/>
    <col min="112" max="16384" width="7.19921875" style="14"/>
  </cols>
  <sheetData>
    <row r="1" spans="1:111" ht="45" customHeight="1" thickBo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20"/>
      <c r="AS1" s="20"/>
      <c r="AT1" s="19"/>
      <c r="AU1" s="19"/>
      <c r="AV1" s="19"/>
      <c r="BY1" s="243" t="s">
        <v>544</v>
      </c>
      <c r="BZ1" s="243" t="s">
        <v>544</v>
      </c>
      <c r="CA1" s="243" t="s">
        <v>373</v>
      </c>
      <c r="CH1" s="243" t="s">
        <v>544</v>
      </c>
      <c r="CI1" s="243" t="s">
        <v>544</v>
      </c>
      <c r="CJ1" s="243" t="s">
        <v>634</v>
      </c>
      <c r="CQ1" s="243" t="s">
        <v>544</v>
      </c>
      <c r="CR1" s="243" t="s">
        <v>373</v>
      </c>
      <c r="CS1" s="15"/>
      <c r="CZ1" s="243" t="s">
        <v>544</v>
      </c>
      <c r="DA1" s="15"/>
      <c r="DB1" s="15"/>
    </row>
    <row r="2" spans="1:111" s="15" customFormat="1" ht="45" customHeight="1">
      <c r="A2" s="22"/>
      <c r="B2" s="226" t="s">
        <v>265</v>
      </c>
      <c r="C2" s="227"/>
      <c r="D2" s="228"/>
      <c r="E2" s="226" t="s">
        <v>266</v>
      </c>
      <c r="F2" s="227"/>
      <c r="G2" s="228"/>
      <c r="H2" s="229" t="s">
        <v>267</v>
      </c>
      <c r="I2" s="230"/>
      <c r="J2" s="231"/>
      <c r="K2" s="229" t="s">
        <v>268</v>
      </c>
      <c r="L2" s="230"/>
      <c r="M2" s="231"/>
      <c r="N2" s="232">
        <v>0.05</v>
      </c>
      <c r="O2" s="233"/>
      <c r="P2" s="234"/>
      <c r="Q2" s="229" t="s">
        <v>269</v>
      </c>
      <c r="R2" s="230"/>
      <c r="S2" s="231"/>
      <c r="T2" s="229" t="s">
        <v>270</v>
      </c>
      <c r="U2" s="230"/>
      <c r="V2" s="231"/>
      <c r="W2" s="235" t="s">
        <v>271</v>
      </c>
      <c r="X2" s="236"/>
      <c r="Y2" s="237"/>
      <c r="Z2" s="235" t="s">
        <v>272</v>
      </c>
      <c r="AA2" s="236"/>
      <c r="AB2" s="237"/>
      <c r="AC2" s="235" t="s">
        <v>273</v>
      </c>
      <c r="AD2" s="236"/>
      <c r="AE2" s="237"/>
      <c r="AF2" s="238" t="s">
        <v>274</v>
      </c>
      <c r="AG2" s="239"/>
      <c r="AH2" s="240"/>
      <c r="AI2" s="238" t="s">
        <v>275</v>
      </c>
      <c r="AJ2" s="239"/>
      <c r="AK2" s="240"/>
      <c r="AL2" s="22"/>
      <c r="AM2" s="22"/>
      <c r="AN2" s="22"/>
      <c r="AO2" s="22"/>
      <c r="AP2" s="22"/>
      <c r="AQ2" s="22"/>
      <c r="AR2" s="23"/>
      <c r="AS2" s="23"/>
      <c r="AT2" s="22"/>
      <c r="AU2" s="22"/>
      <c r="AV2" s="22"/>
      <c r="BN2" s="14"/>
      <c r="BO2" s="345"/>
      <c r="BP2" s="345"/>
      <c r="BQ2" s="346"/>
      <c r="BR2" s="345"/>
      <c r="BS2" s="347"/>
      <c r="BT2" s="345"/>
      <c r="BU2" s="14"/>
      <c r="BV2" s="122"/>
      <c r="BW2" s="21"/>
      <c r="BX2" s="14"/>
      <c r="BY2" s="241" t="s">
        <v>547</v>
      </c>
      <c r="BZ2" s="241" t="s">
        <v>549</v>
      </c>
      <c r="CA2" s="241" t="s">
        <v>235</v>
      </c>
      <c r="CF2" s="242"/>
      <c r="CG2" s="14"/>
      <c r="CH2" s="241" t="s">
        <v>547</v>
      </c>
      <c r="CI2" s="241" t="s">
        <v>549</v>
      </c>
      <c r="CJ2" s="241"/>
      <c r="CO2" s="242"/>
      <c r="CP2" s="14"/>
      <c r="CQ2" s="241" t="s">
        <v>545</v>
      </c>
      <c r="CR2" s="241" t="s">
        <v>235</v>
      </c>
      <c r="CX2" s="242"/>
      <c r="CY2" s="14"/>
      <c r="CZ2" s="241" t="s">
        <v>584</v>
      </c>
      <c r="DG2" s="242"/>
    </row>
    <row r="3" spans="1:111" s="15" customFormat="1" ht="45" customHeight="1">
      <c r="A3" s="22"/>
      <c r="B3" s="25" t="s">
        <v>12</v>
      </c>
      <c r="C3" s="100"/>
      <c r="D3" s="101" t="s">
        <v>109</v>
      </c>
      <c r="E3" s="102"/>
      <c r="F3" s="100"/>
      <c r="G3" s="99"/>
      <c r="H3" s="103"/>
      <c r="I3" s="104"/>
      <c r="J3" s="105"/>
      <c r="K3" s="103"/>
      <c r="L3" s="104"/>
      <c r="M3" s="105"/>
      <c r="N3" s="106"/>
      <c r="O3" s="107"/>
      <c r="P3" s="108"/>
      <c r="Q3" s="103"/>
      <c r="R3" s="104"/>
      <c r="S3" s="105"/>
      <c r="T3" s="103"/>
      <c r="U3" s="104"/>
      <c r="V3" s="105"/>
      <c r="W3" s="26" t="s">
        <v>81</v>
      </c>
      <c r="X3" s="109"/>
      <c r="Y3" s="110" t="s">
        <v>144</v>
      </c>
      <c r="Z3" s="26" t="s">
        <v>82</v>
      </c>
      <c r="AA3" s="111">
        <v>0</v>
      </c>
      <c r="AB3" s="110" t="s">
        <v>140</v>
      </c>
      <c r="AC3" s="112"/>
      <c r="AD3" s="109"/>
      <c r="AE3" s="113"/>
      <c r="AF3" s="114"/>
      <c r="AG3" s="115"/>
      <c r="AH3" s="116"/>
      <c r="AI3" s="114"/>
      <c r="AJ3" s="115"/>
      <c r="AK3" s="116"/>
      <c r="AL3" s="22"/>
      <c r="AM3" s="22"/>
      <c r="AN3" s="22"/>
      <c r="AO3" s="22"/>
      <c r="AP3" s="22"/>
      <c r="AQ3" s="22"/>
      <c r="AR3" s="23"/>
      <c r="AS3" s="23"/>
      <c r="AT3" s="22"/>
      <c r="AU3" s="22"/>
      <c r="AV3" s="22"/>
      <c r="BO3" s="3" t="s">
        <v>276</v>
      </c>
      <c r="BP3" s="348"/>
      <c r="BQ3" s="349"/>
      <c r="BR3" s="348"/>
      <c r="BS3" s="348"/>
      <c r="BT3" s="348"/>
      <c r="BV3" s="122"/>
      <c r="BW3" s="24"/>
      <c r="CF3" s="242"/>
      <c r="CO3" s="242"/>
      <c r="CX3" s="242"/>
      <c r="DG3" s="242"/>
    </row>
    <row r="4" spans="1:111" ht="45" customHeight="1" thickBot="1">
      <c r="A4" s="27"/>
      <c r="B4" s="28" t="s">
        <v>8</v>
      </c>
      <c r="C4" s="29"/>
      <c r="D4" s="30" t="s">
        <v>119</v>
      </c>
      <c r="E4" s="28" t="s">
        <v>14</v>
      </c>
      <c r="F4" s="29"/>
      <c r="G4" s="31" t="s">
        <v>579</v>
      </c>
      <c r="H4" s="222" t="s">
        <v>74</v>
      </c>
      <c r="I4" s="223"/>
      <c r="J4" s="378" t="s">
        <v>277</v>
      </c>
      <c r="K4" s="224" t="s">
        <v>73</v>
      </c>
      <c r="L4" s="225"/>
      <c r="M4" s="378" t="s">
        <v>278</v>
      </c>
      <c r="N4" s="222" t="s">
        <v>76</v>
      </c>
      <c r="O4" s="223"/>
      <c r="P4" s="378" t="s">
        <v>279</v>
      </c>
      <c r="Q4" s="224" t="s">
        <v>75</v>
      </c>
      <c r="R4" s="225"/>
      <c r="S4" s="378" t="s">
        <v>280</v>
      </c>
      <c r="T4" s="224" t="s">
        <v>281</v>
      </c>
      <c r="U4" s="223"/>
      <c r="V4" s="378" t="s">
        <v>650</v>
      </c>
      <c r="W4" s="276" t="s">
        <v>586</v>
      </c>
      <c r="X4" s="33"/>
      <c r="Y4" s="34" t="s">
        <v>174</v>
      </c>
      <c r="Z4" s="32" t="s">
        <v>128</v>
      </c>
      <c r="AA4" s="35"/>
      <c r="AB4" s="36" t="s">
        <v>163</v>
      </c>
      <c r="AC4" s="32" t="s">
        <v>67</v>
      </c>
      <c r="AD4" s="33">
        <v>0</v>
      </c>
      <c r="AE4" s="34" t="s">
        <v>105</v>
      </c>
      <c r="AF4" s="37" t="s">
        <v>394</v>
      </c>
      <c r="AG4" s="35"/>
      <c r="AH4" s="36" t="s">
        <v>585</v>
      </c>
      <c r="AI4" s="37"/>
      <c r="AJ4" s="35"/>
      <c r="AK4" s="38"/>
      <c r="AL4" s="27"/>
      <c r="AM4" s="27"/>
      <c r="AN4" s="27"/>
      <c r="AO4" s="27"/>
      <c r="AP4" s="27"/>
      <c r="AQ4" s="27"/>
      <c r="AR4" s="20"/>
      <c r="AS4" s="20"/>
      <c r="AT4" s="27"/>
      <c r="AU4" s="27"/>
      <c r="AV4" s="27"/>
      <c r="BN4" s="2"/>
      <c r="BO4" s="350" t="s">
        <v>6</v>
      </c>
      <c r="BP4" s="351" t="s">
        <v>565</v>
      </c>
      <c r="BQ4" s="269" t="s">
        <v>190</v>
      </c>
      <c r="BR4" s="352" t="s">
        <v>627</v>
      </c>
      <c r="BS4" s="352" t="s">
        <v>544</v>
      </c>
      <c r="BT4" s="353" t="s">
        <v>543</v>
      </c>
      <c r="BU4" s="15"/>
      <c r="BW4" s="24"/>
      <c r="BX4" s="2"/>
      <c r="BY4" s="331" t="s">
        <v>6</v>
      </c>
      <c r="BZ4" s="11" t="s">
        <v>7</v>
      </c>
      <c r="CA4" s="275" t="s">
        <v>190</v>
      </c>
      <c r="CB4" s="273" t="s">
        <v>627</v>
      </c>
      <c r="CC4" s="273" t="s">
        <v>544</v>
      </c>
      <c r="CD4" s="274" t="s">
        <v>543</v>
      </c>
      <c r="CG4" s="2"/>
      <c r="CH4" s="331" t="s">
        <v>6</v>
      </c>
      <c r="CI4" s="11" t="s">
        <v>7</v>
      </c>
      <c r="CJ4" s="275" t="s">
        <v>190</v>
      </c>
      <c r="CK4" s="273" t="s">
        <v>627</v>
      </c>
      <c r="CL4" s="273" t="s">
        <v>544</v>
      </c>
      <c r="CM4" s="274" t="s">
        <v>543</v>
      </c>
      <c r="CP4" s="2"/>
      <c r="CQ4" s="331" t="s">
        <v>6</v>
      </c>
      <c r="CR4" s="11" t="s">
        <v>7</v>
      </c>
      <c r="CS4" s="275" t="s">
        <v>190</v>
      </c>
      <c r="CT4" s="273" t="s">
        <v>627</v>
      </c>
      <c r="CU4" s="273" t="s">
        <v>544</v>
      </c>
      <c r="CV4" s="274" t="s">
        <v>543</v>
      </c>
      <c r="CY4" s="2"/>
      <c r="CZ4" s="331" t="s">
        <v>6</v>
      </c>
      <c r="DA4" s="11" t="s">
        <v>7</v>
      </c>
      <c r="DB4" s="275" t="s">
        <v>190</v>
      </c>
      <c r="DC4" s="273" t="s">
        <v>627</v>
      </c>
      <c r="DD4" s="273" t="s">
        <v>544</v>
      </c>
      <c r="DE4" s="274" t="s">
        <v>543</v>
      </c>
    </row>
    <row r="5" spans="1:111" s="15" customFormat="1" ht="45" customHeight="1">
      <c r="A5" s="22"/>
      <c r="B5" s="22"/>
      <c r="C5" s="226" t="s">
        <v>282</v>
      </c>
      <c r="D5" s="227"/>
      <c r="E5" s="228"/>
      <c r="F5" s="226" t="s">
        <v>283</v>
      </c>
      <c r="G5" s="227"/>
      <c r="H5" s="228"/>
      <c r="I5" s="226" t="s">
        <v>159</v>
      </c>
      <c r="J5" s="227"/>
      <c r="K5" s="228"/>
      <c r="L5" s="226" t="s">
        <v>284</v>
      </c>
      <c r="M5" s="227"/>
      <c r="N5" s="228"/>
      <c r="O5" s="226" t="s">
        <v>200</v>
      </c>
      <c r="P5" s="227"/>
      <c r="Q5" s="228"/>
      <c r="R5" s="226" t="s">
        <v>223</v>
      </c>
      <c r="S5" s="227"/>
      <c r="T5" s="228"/>
      <c r="U5" s="235" t="s">
        <v>135</v>
      </c>
      <c r="V5" s="236"/>
      <c r="W5" s="237"/>
      <c r="X5" s="235" t="s">
        <v>143</v>
      </c>
      <c r="Y5" s="236"/>
      <c r="Z5" s="237"/>
      <c r="AA5" s="235" t="s">
        <v>139</v>
      </c>
      <c r="AB5" s="236"/>
      <c r="AC5" s="237"/>
      <c r="AD5" s="235" t="s">
        <v>197</v>
      </c>
      <c r="AE5" s="236"/>
      <c r="AF5" s="237"/>
      <c r="AG5" s="229" t="s">
        <v>285</v>
      </c>
      <c r="AH5" s="230"/>
      <c r="AI5" s="231"/>
      <c r="AJ5" s="229" t="s">
        <v>286</v>
      </c>
      <c r="AK5" s="230"/>
      <c r="AL5" s="231"/>
      <c r="AM5" s="238" t="s">
        <v>287</v>
      </c>
      <c r="AN5" s="239"/>
      <c r="AO5" s="240"/>
      <c r="AP5" s="22"/>
      <c r="AQ5" s="22"/>
      <c r="AR5" s="23"/>
      <c r="AS5" s="23"/>
      <c r="AT5" s="22"/>
      <c r="AU5" s="22"/>
      <c r="AV5" s="22"/>
      <c r="BN5" s="39">
        <f xml:space="preserve"> ROW() - 4</f>
        <v>1</v>
      </c>
      <c r="BO5" s="354" t="str" cm="1">
        <f t="array" ref="BO5" xml:space="preserve"> INDEX(_xlfn.ANCHORARRAY($D$17), 1, $BN5)</f>
        <v>m</v>
      </c>
      <c r="BP5" s="351" t="str" cm="1">
        <f t="array" ref="BP5" xml:space="preserve"> INDEX(_xlfn.ANCHORARRAY($D$18), 1, $BN5)</f>
        <v>a</v>
      </c>
      <c r="BQ5" s="269" t="str" cm="1">
        <f t="array" ref="BQ5" xml:space="preserve"> INDEX(_xlfn.ANCHORARRAY($D$19), 1, $BN5)</f>
        <v>ㄇ</v>
      </c>
      <c r="BR5" s="355" t="str" cm="1">
        <f t="array" ref="BR5" xml:space="preserve"> INDEX(_xlfn.ANCHORARRAY($D$20), 1, $BN5)</f>
        <v>bbn</v>
      </c>
      <c r="BS5" s="356" t="str" cm="1">
        <f t="array" ref="BS5" xml:space="preserve"> INDEX(注音編碼對照表[聲韻調], MATCH(TRUE, EXACT($BP5, 注音編碼對照表[鍵盤按鍵]), 0))</f>
        <v>聲</v>
      </c>
      <c r="BT5" s="357">
        <f xml:space="preserve"> LEN(BR5)</f>
        <v>3</v>
      </c>
      <c r="BU5" s="14"/>
      <c r="BV5" s="123" t="str">
        <f xml:space="preserve"> "    """ &amp; BP5 &amp; """: { commit: """ &amp; BQ5 &amp; """ }" &amp; "  # " &amp; "/" &amp; BR5 &amp; "/ ==&gt; " &amp; BO5</f>
        <v xml:space="preserve">    "a": { commit: "ㄇ" }  # /bbn/ ==&gt; m</v>
      </c>
      <c r="BW5" s="40"/>
      <c r="BX5" s="39">
        <f xml:space="preserve"> ROW() - 4</f>
        <v>1</v>
      </c>
      <c r="BY5" s="332" t="str" cm="1">
        <f t="array" ref="BY5:CD28" xml:space="preserve"> _xlfn._xlws.SORT( _xlfn._xlws.FILTER($BO5:$BT65,($BS5:$BS65=BY2)*($BS5:$BS65&lt;&gt;BZ2), "無符合資料"), 6, -1)</f>
        <v>x</v>
      </c>
      <c r="BZ5" s="271" t="str">
        <v>(</v>
      </c>
      <c r="CA5" s="269" t="str">
        <v>ㆮ</v>
      </c>
      <c r="CB5" s="10" t="str">
        <v>nai</v>
      </c>
      <c r="CC5" s="270" t="str">
        <v>韻</v>
      </c>
      <c r="CD5" s="272">
        <v>3</v>
      </c>
      <c r="CF5" s="242" t="str">
        <f t="shared" ref="CF5:CF6" si="0" xml:space="preserve"> IFERROR( IF(LEN(BY5)=0, "", IF(BY5=CB5, "", "    - xform/" &amp; CB5 &amp; "/" &amp; BY5 &amp; "/  # " &amp; "【" &amp; BZ5 &amp; "】 ==&gt; " &amp; CC5 &amp; "： " &amp; CA5 &amp; " [" &amp; CB5 &amp; "]")), "")</f>
        <v xml:space="preserve">    - xform/nai/x/  # 【(】 ==&gt; 韻： ㆮ [nai]</v>
      </c>
      <c r="CG5" s="39">
        <f xml:space="preserve"> ROW() - 4</f>
        <v>1</v>
      </c>
      <c r="CH5" s="332" t="str" cm="1">
        <f t="array" ref="CH5:CM13" xml:space="preserve"> _xlfn._xlws.SORT( _xlfn._xlws.FILTER($BO5:$BT65,($BS5:$BS65=CH2)*(LEFT($BR5:$BR65, 1) = "n"), "無符合資料"), 6, -1)</f>
        <v>x</v>
      </c>
      <c r="CI5" s="271" t="str">
        <v>(</v>
      </c>
      <c r="CJ5" s="269" t="str">
        <v>ㆮ</v>
      </c>
      <c r="CK5" s="10" t="str">
        <v>nai</v>
      </c>
      <c r="CL5" s="270" t="str">
        <v>韻</v>
      </c>
      <c r="CM5" s="272">
        <v>3</v>
      </c>
      <c r="CO5" s="242" t="str">
        <f xml:space="preserve"> IFERROR( IF(LEN(CH5)=0, "", IF(EXACT(CH5,CK5), "", "    - xform/" &amp; CK5 &amp; "/" &amp; CH5 &amp; "/  # " &amp; "【" &amp; CI5 &amp; "】 ==&gt; " &amp; CL5 &amp; "： " &amp; CJ5 &amp; " [" &amp; CK5 &amp; "]")), "")</f>
        <v xml:space="preserve">    - xform/nai/x/  # 【(】 ==&gt; 韻： ㆮ [nai]</v>
      </c>
      <c r="CP5" s="39">
        <f xml:space="preserve"> ROW() - 4</f>
        <v>1</v>
      </c>
      <c r="CQ5" s="332" t="str" cm="1">
        <f t="array" ref="CQ5:CV25" xml:space="preserve"> _xlfn._xlws.SORT( _xlfn._xlws.FILTER($BO$5:$BT$65,($BS5:$BS65=CQ2)*($BR5:$BR65&lt;&gt;CR2), "無符合資料"), 6, -1)</f>
        <v>m</v>
      </c>
      <c r="CR5" s="271" t="str">
        <v>a</v>
      </c>
      <c r="CS5" s="269" t="str">
        <v>ㄇ</v>
      </c>
      <c r="CT5" s="10" t="str">
        <v>bbn</v>
      </c>
      <c r="CU5" s="270" t="str">
        <v>聲</v>
      </c>
      <c r="CV5" s="272">
        <v>3</v>
      </c>
      <c r="CX5" s="377" t="str">
        <f xml:space="preserve"> IFERROR( IF(LEN(CQ5)=0, "", IF(EXACT(CQ5,CT5), "", "    - xform/^" &amp; CT5 &amp; "/" &amp; CQ5 &amp; "/  # " &amp; "【" &amp; CR5 &amp; "】 ==&gt; " &amp; CU5 &amp; "： " &amp; CS5 &amp; " [" &amp; CT5 &amp; "]")), "")</f>
        <v xml:space="preserve">    - xform/^bbn/m/  # 【a】 ==&gt; 聲： ㄇ [bbn]</v>
      </c>
      <c r="CY5" s="39">
        <f xml:space="preserve"> ROW() - 4</f>
        <v>1</v>
      </c>
      <c r="CZ5" s="332" t="str" cm="1">
        <f t="array" ref="CZ5:DE7" xml:space="preserve"> _xlfn._xlws.FILTER($BO$5:$BT$65,($BS5:$BS65=CZ2), "無符合資料")</f>
        <v>&amp;</v>
      </c>
      <c r="DA5" s="271" t="str">
        <v>.</v>
      </c>
      <c r="DB5" s="269" t="str">
        <v>入</v>
      </c>
      <c r="DC5" s="10" t="str">
        <v>[78]</v>
      </c>
      <c r="DD5" s="270" t="str">
        <v>鍵</v>
      </c>
      <c r="DE5" s="272">
        <v>4</v>
      </c>
      <c r="DG5" s="242"/>
    </row>
    <row r="6" spans="1:111" s="15" customFormat="1" ht="45" customHeight="1">
      <c r="A6" s="22"/>
      <c r="B6" s="22"/>
      <c r="C6" s="102"/>
      <c r="D6" s="100"/>
      <c r="E6" s="99"/>
      <c r="F6" s="102"/>
      <c r="G6" s="100"/>
      <c r="H6" s="99"/>
      <c r="I6" s="25" t="s">
        <v>23</v>
      </c>
      <c r="J6" s="100"/>
      <c r="K6" s="99" t="s">
        <v>375</v>
      </c>
      <c r="L6" s="117" t="s">
        <v>78</v>
      </c>
      <c r="M6" s="100"/>
      <c r="N6" s="118" t="s">
        <v>567</v>
      </c>
      <c r="O6" s="117"/>
      <c r="P6" s="119"/>
      <c r="Q6" s="118"/>
      <c r="R6" s="117" t="s">
        <v>28</v>
      </c>
      <c r="S6" s="100"/>
      <c r="T6" s="118" t="s">
        <v>376</v>
      </c>
      <c r="U6" s="26" t="s">
        <v>79</v>
      </c>
      <c r="V6" s="109"/>
      <c r="W6" s="110" t="s">
        <v>250</v>
      </c>
      <c r="X6" s="26" t="s">
        <v>84</v>
      </c>
      <c r="Y6" s="120"/>
      <c r="Z6" s="244" t="s">
        <v>377</v>
      </c>
      <c r="AA6" s="26" t="s">
        <v>86</v>
      </c>
      <c r="AB6" s="109"/>
      <c r="AC6" s="110" t="s">
        <v>116</v>
      </c>
      <c r="AD6" s="112"/>
      <c r="AE6" s="109"/>
      <c r="AF6" s="113"/>
      <c r="AG6" s="103"/>
      <c r="AH6" s="104"/>
      <c r="AI6" s="105"/>
      <c r="AJ6" s="103"/>
      <c r="AK6" s="104"/>
      <c r="AL6" s="105"/>
      <c r="AM6" s="26"/>
      <c r="AN6" s="120"/>
      <c r="AO6" s="121"/>
      <c r="AP6" s="22"/>
      <c r="AQ6" s="22"/>
      <c r="AR6" s="23"/>
      <c r="AS6" s="23"/>
      <c r="AT6" s="22"/>
      <c r="AU6" s="22"/>
      <c r="AV6" s="22"/>
      <c r="BN6" s="39">
        <f t="shared" ref="BN6:BN64" si="1" xml:space="preserve"> ROW() - 4</f>
        <v>2</v>
      </c>
      <c r="BO6" s="354" t="str" cm="1">
        <f t="array" ref="BO6" xml:space="preserve"> INDEX(_xlfn.ANCHORARRAY($D$17), 1, $BN6)</f>
        <v>B</v>
      </c>
      <c r="BP6" s="351" t="str" cm="1">
        <f t="array" ref="BP6" xml:space="preserve"> INDEX(_xlfn.ANCHORARRAY($D$18), 1, $BN6)</f>
        <v>!</v>
      </c>
      <c r="BQ6" s="269" t="str" cm="1">
        <f t="array" ref="BQ6" xml:space="preserve"> INDEX(_xlfn.ANCHORARRAY($D$19), 1, $BN6)</f>
        <v>ㆠ</v>
      </c>
      <c r="BR6" s="355" t="str" cm="1">
        <f t="array" ref="BR6" xml:space="preserve"> INDEX(_xlfn.ANCHORARRAY($D$20), 1, $BN6)</f>
        <v>bb</v>
      </c>
      <c r="BS6" s="356" t="str" cm="1">
        <f t="array" ref="BS6" xml:space="preserve"> INDEX(注音編碼對照表[聲韻調], MATCH(TRUE, EXACT($BP6, 注音編碼對照表[鍵盤按鍵]), 0))</f>
        <v>聲</v>
      </c>
      <c r="BT6" s="357">
        <f t="shared" ref="BT6:BT64" si="2" xml:space="preserve"> LEN(BR6)</f>
        <v>2</v>
      </c>
      <c r="BV6" s="123" t="str">
        <f t="shared" ref="BV6:BV64" si="3" xml:space="preserve"> "    """ &amp; BP6 &amp; """: { commit: """ &amp; BQ6 &amp; """ }" &amp; "  # " &amp; "/" &amp; BR6 &amp; "/ ==&gt; " &amp; BO6</f>
        <v xml:space="preserve">    "!": { commit: "ㆠ" }  # /bb/ ==&gt; B</v>
      </c>
      <c r="BW6" s="40"/>
      <c r="BX6" s="39">
        <f t="shared" ref="BX6:BX64" si="4" xml:space="preserve"> ROW() - 4</f>
        <v>2</v>
      </c>
      <c r="BY6" s="332" t="str">
        <v>y</v>
      </c>
      <c r="BZ6" s="271" t="str">
        <v>L</v>
      </c>
      <c r="CA6" s="269" t="str">
        <v>ㆯ</v>
      </c>
      <c r="CB6" s="10" t="str">
        <v>nau</v>
      </c>
      <c r="CC6" s="270" t="str">
        <v>韻</v>
      </c>
      <c r="CD6" s="272">
        <v>3</v>
      </c>
      <c r="CF6" s="242" t="str">
        <f t="shared" si="0"/>
        <v xml:space="preserve">    - xform/nau/y/  # 【L】 ==&gt; 韻： ㆯ [nau]</v>
      </c>
      <c r="CG6" s="39">
        <f t="shared" ref="CG6:CG64" si="5" xml:space="preserve"> ROW() - 4</f>
        <v>2</v>
      </c>
      <c r="CH6" s="332" t="str">
        <v>y</v>
      </c>
      <c r="CI6" s="271" t="str">
        <v>L</v>
      </c>
      <c r="CJ6" s="269" t="str">
        <v>ㆯ</v>
      </c>
      <c r="CK6" s="10" t="str">
        <v>nau</v>
      </c>
      <c r="CL6" s="270" t="str">
        <v>韻</v>
      </c>
      <c r="CM6" s="272">
        <v>3</v>
      </c>
      <c r="CO6" s="242" t="str">
        <f t="shared" ref="CO6:CO27" si="6" xml:space="preserve"> IFERROR( IF(LEN(CH6)=0, "", IF(EXACT(CH6,CK6), "", "    - xform/" &amp; CK6 &amp; "/" &amp; CH6 &amp; "/  # " &amp; "【" &amp; CI6 &amp; "】 ==&gt; " &amp; CL6 &amp; "： " &amp; CJ6 &amp; " [" &amp; CK6 &amp; "]")), "")</f>
        <v xml:space="preserve">    - xform/nau/y/  # 【L】 ==&gt; 韻： ㆯ [nau]</v>
      </c>
      <c r="CP6" s="39">
        <f t="shared" ref="CP6:CP64" si="7" xml:space="preserve"> ROW() - 4</f>
        <v>2</v>
      </c>
      <c r="CQ6" s="332" t="str">
        <v>ŋ</v>
      </c>
      <c r="CR6" s="271" t="str">
        <v>N</v>
      </c>
      <c r="CS6" s="269" t="str">
        <v>ㄫ</v>
      </c>
      <c r="CT6" s="10" t="str">
        <v>ggn</v>
      </c>
      <c r="CU6" s="270" t="str">
        <v>聲</v>
      </c>
      <c r="CV6" s="272">
        <v>3</v>
      </c>
      <c r="CX6" s="377" t="str">
        <f t="shared" ref="CX6:CX31" si="8" xml:space="preserve"> IFERROR( IF(LEN(CQ6)=0, "", IF(EXACT(CQ6,CT6), "", "    - xform/^" &amp; CT6 &amp; "/" &amp; CQ6 &amp; "/  # " &amp; "【" &amp; CR6 &amp; "】 ==&gt; " &amp; CU6 &amp; "： " &amp; CS6 &amp; " [" &amp; CT6 &amp; "]")), "")</f>
        <v xml:space="preserve">    - xform/^ggn/ŋ/  # 【N】 ==&gt; 聲： ㄫ [ggn]</v>
      </c>
      <c r="CY6" s="39">
        <f t="shared" ref="CY6:CY64" si="9" xml:space="preserve"> ROW() - 4</f>
        <v>2</v>
      </c>
      <c r="CZ6" s="332" t="str">
        <v>L</v>
      </c>
      <c r="DA6" s="271" t="str">
        <v>?</v>
      </c>
      <c r="DB6" s="269" t="str">
        <v>ㄥ</v>
      </c>
      <c r="DC6" s="10" t="str">
        <v>nn</v>
      </c>
      <c r="DD6" s="270" t="str">
        <v>鍵</v>
      </c>
      <c r="DE6" s="272">
        <v>2</v>
      </c>
      <c r="DG6" s="242"/>
    </row>
    <row r="7" spans="1:111" ht="45" customHeight="1" thickBot="1">
      <c r="A7" s="27"/>
      <c r="B7" s="27"/>
      <c r="C7" s="28" t="s">
        <v>10</v>
      </c>
      <c r="D7" s="29"/>
      <c r="E7" s="31" t="s">
        <v>193</v>
      </c>
      <c r="F7" s="28" t="s">
        <v>16</v>
      </c>
      <c r="G7" s="29"/>
      <c r="H7" s="31" t="s">
        <v>580</v>
      </c>
      <c r="I7" s="28" t="s">
        <v>20</v>
      </c>
      <c r="J7" s="29">
        <v>0</v>
      </c>
      <c r="K7" s="98" t="s">
        <v>107</v>
      </c>
      <c r="L7" s="41" t="s">
        <v>61</v>
      </c>
      <c r="M7" s="29"/>
      <c r="N7" s="42" t="s">
        <v>567</v>
      </c>
      <c r="O7" s="28" t="s">
        <v>90</v>
      </c>
      <c r="P7" s="29"/>
      <c r="Q7" s="98" t="s">
        <v>570</v>
      </c>
      <c r="R7" s="41" t="s">
        <v>25</v>
      </c>
      <c r="S7" s="29"/>
      <c r="T7" s="43" t="s">
        <v>106</v>
      </c>
      <c r="U7" s="32" t="s">
        <v>34</v>
      </c>
      <c r="V7" s="33"/>
      <c r="W7" s="36" t="s">
        <v>146</v>
      </c>
      <c r="X7" s="32" t="s">
        <v>44</v>
      </c>
      <c r="Y7" s="33"/>
      <c r="Z7" s="36" t="s">
        <v>171</v>
      </c>
      <c r="AA7" s="32" t="s">
        <v>71</v>
      </c>
      <c r="AB7" s="33"/>
      <c r="AC7" s="36" t="s">
        <v>100</v>
      </c>
      <c r="AD7" s="32" t="s">
        <v>52</v>
      </c>
      <c r="AE7" s="35"/>
      <c r="AF7" s="263" t="s">
        <v>578</v>
      </c>
      <c r="AG7" s="224" t="s">
        <v>263</v>
      </c>
      <c r="AH7" s="223"/>
      <c r="AI7" s="378" t="s">
        <v>647</v>
      </c>
      <c r="AJ7" s="224" t="s">
        <v>281</v>
      </c>
      <c r="AK7" s="223"/>
      <c r="AL7" s="378" t="s">
        <v>649</v>
      </c>
      <c r="AM7" s="32"/>
      <c r="AN7" s="35"/>
      <c r="AO7" s="36"/>
      <c r="AP7" s="27"/>
      <c r="AQ7" s="27"/>
      <c r="AR7" s="20"/>
      <c r="AS7" s="20"/>
      <c r="AT7" s="27"/>
      <c r="AU7" s="27"/>
      <c r="AV7" s="27"/>
      <c r="BN7" s="39">
        <f t="shared" si="1"/>
        <v>3</v>
      </c>
      <c r="BO7" s="354" t="str" cm="1">
        <f t="array" ref="BO7" xml:space="preserve"> INDEX(_xlfn.ANCHORARRAY($D$17), 1, $BN7)</f>
        <v>b</v>
      </c>
      <c r="BP7" s="351" t="str" cm="1">
        <f t="array" ref="BP7" xml:space="preserve"> INDEX(_xlfn.ANCHORARRAY($D$18), 1, $BN7)</f>
        <v>1</v>
      </c>
      <c r="BQ7" s="269" t="str" cm="1">
        <f t="array" ref="BQ7" xml:space="preserve"> INDEX(_xlfn.ANCHORARRAY($D$19), 1, $BN7)</f>
        <v>ㄅ</v>
      </c>
      <c r="BR7" s="355" t="str" cm="1">
        <f t="array" ref="BR7" xml:space="preserve"> INDEX(_xlfn.ANCHORARRAY($D$20), 1, $BN7)</f>
        <v>b</v>
      </c>
      <c r="BS7" s="356" t="str" cm="1">
        <f t="array" ref="BS7" xml:space="preserve"> INDEX(注音編碼對照表[聲韻調], MATCH(TRUE, EXACT($BP7, 注音編碼對照表[鍵盤按鍵]), 0))</f>
        <v>聲</v>
      </c>
      <c r="BT7" s="357">
        <f t="shared" si="2"/>
        <v>1</v>
      </c>
      <c r="BU7" s="15"/>
      <c r="BV7" s="123" t="str">
        <f t="shared" si="3"/>
        <v xml:space="preserve">    "1": { commit: "ㄅ" }  # /b/ ==&gt; b</v>
      </c>
      <c r="BW7" s="40"/>
      <c r="BX7" s="39">
        <f t="shared" si="4"/>
        <v>3</v>
      </c>
      <c r="BY7" s="332" t="str">
        <v>A</v>
      </c>
      <c r="BZ7" s="271" t="str">
        <v>;</v>
      </c>
      <c r="CA7" s="269" t="str">
        <v>ㄤ</v>
      </c>
      <c r="CB7" s="10" t="str">
        <v>ang</v>
      </c>
      <c r="CC7" s="270" t="str">
        <v>韻</v>
      </c>
      <c r="CD7" s="272">
        <v>3</v>
      </c>
      <c r="CF7" s="242" t="str">
        <f xml:space="preserve"> IFERROR( IF(LEN(BY7)=0, "", IF(BY7=CB7, "", "    - xform/" &amp; CB7 &amp; "/" &amp; BY7 &amp; "/  # " &amp; "【" &amp; BZ7 &amp; "】 ==&gt; " &amp; CC7 &amp; "： " &amp; CA7 &amp; " [" &amp; CB7 &amp; "]")), "")</f>
        <v xml:space="preserve">    - xform/ang/A/  # 【;】 ==&gt; 韻： ㄤ [ang]</v>
      </c>
      <c r="CG7" s="39">
        <f t="shared" si="5"/>
        <v>3</v>
      </c>
      <c r="CH7" s="332" t="str">
        <v>R</v>
      </c>
      <c r="CI7" s="271" t="str">
        <v>*</v>
      </c>
      <c r="CJ7" s="269" t="str">
        <v>ㆩ</v>
      </c>
      <c r="CK7" s="10" t="str">
        <v>na</v>
      </c>
      <c r="CL7" s="270" t="str">
        <v>韻</v>
      </c>
      <c r="CM7" s="272">
        <v>2</v>
      </c>
      <c r="CO7" s="242" t="str">
        <f t="shared" si="6"/>
        <v xml:space="preserve">    - xform/na/R/  # 【*】 ==&gt; 韻： ㆩ [na]</v>
      </c>
      <c r="CP7" s="39">
        <f t="shared" si="7"/>
        <v>3</v>
      </c>
      <c r="CQ7" s="332" t="str">
        <v>B</v>
      </c>
      <c r="CR7" s="271" t="str">
        <v>!</v>
      </c>
      <c r="CS7" s="269" t="str">
        <v>ㆠ</v>
      </c>
      <c r="CT7" s="10" t="str">
        <v>bb</v>
      </c>
      <c r="CU7" s="270" t="str">
        <v>聲</v>
      </c>
      <c r="CV7" s="272">
        <v>2</v>
      </c>
      <c r="CX7" s="377" t="str">
        <f t="shared" si="8"/>
        <v xml:space="preserve">    - xform/^bb/B/  # 【!】 ==&gt; 聲： ㆠ [bb]</v>
      </c>
      <c r="CY7" s="39">
        <f t="shared" si="9"/>
        <v>3</v>
      </c>
      <c r="CZ7" s="332" t="str">
        <v>*</v>
      </c>
      <c r="DA7" s="271" t="str">
        <v>-</v>
      </c>
      <c r="DB7" s="269" t="str">
        <v>ñ</v>
      </c>
      <c r="DC7" s="10" t="str">
        <v>*nn</v>
      </c>
      <c r="DD7" s="270" t="str">
        <v>鍵</v>
      </c>
      <c r="DE7" s="272">
        <v>3</v>
      </c>
    </row>
    <row r="8" spans="1:111" s="15" customFormat="1" ht="45" customHeight="1">
      <c r="A8" s="22"/>
      <c r="B8" s="22"/>
      <c r="C8" s="44"/>
      <c r="D8" s="226" t="s">
        <v>314</v>
      </c>
      <c r="E8" s="227"/>
      <c r="F8" s="228"/>
      <c r="G8" s="226" t="s">
        <v>228</v>
      </c>
      <c r="H8" s="227"/>
      <c r="I8" s="228"/>
      <c r="J8" s="226" t="s">
        <v>108</v>
      </c>
      <c r="K8" s="227"/>
      <c r="L8" s="228"/>
      <c r="M8" s="226" t="s">
        <v>288</v>
      </c>
      <c r="N8" s="227"/>
      <c r="O8" s="228"/>
      <c r="P8" s="226" t="s">
        <v>94</v>
      </c>
      <c r="Q8" s="227"/>
      <c r="R8" s="228"/>
      <c r="S8" s="226" t="s">
        <v>226</v>
      </c>
      <c r="T8" s="227"/>
      <c r="U8" s="228"/>
      <c r="V8" s="235" t="s">
        <v>130</v>
      </c>
      <c r="W8" s="236"/>
      <c r="X8" s="237"/>
      <c r="Y8" s="235" t="s">
        <v>209</v>
      </c>
      <c r="Z8" s="236"/>
      <c r="AA8" s="237"/>
      <c r="AB8" s="235" t="s">
        <v>125</v>
      </c>
      <c r="AC8" s="236"/>
      <c r="AD8" s="237"/>
      <c r="AE8" s="235" t="s">
        <v>289</v>
      </c>
      <c r="AF8" s="236"/>
      <c r="AG8" s="237"/>
      <c r="AH8" s="238" t="s">
        <v>290</v>
      </c>
      <c r="AI8" s="239"/>
      <c r="AJ8" s="240"/>
      <c r="AK8" s="22"/>
      <c r="AL8" s="22"/>
      <c r="AM8" s="22"/>
      <c r="AN8" s="22"/>
      <c r="AO8" s="22"/>
      <c r="AP8" s="22"/>
      <c r="AQ8" s="22"/>
      <c r="AR8" s="23"/>
      <c r="AS8" s="23"/>
      <c r="AT8" s="22"/>
      <c r="AU8" s="22"/>
      <c r="AV8" s="22"/>
      <c r="BN8" s="39">
        <f t="shared" si="1"/>
        <v>4</v>
      </c>
      <c r="BO8" s="354" t="str" cm="1">
        <f t="array" ref="BO8" xml:space="preserve"> INDEX(_xlfn.ANCHORARRAY($D$17), 1, $BN8)</f>
        <v>p</v>
      </c>
      <c r="BP8" s="351" t="str" cm="1">
        <f t="array" ref="BP8" xml:space="preserve"> INDEX(_xlfn.ANCHORARRAY($D$18), 1, $BN8)</f>
        <v>q</v>
      </c>
      <c r="BQ8" s="269" t="str" cm="1">
        <f t="array" ref="BQ8" xml:space="preserve"> INDEX(_xlfn.ANCHORARRAY($D$19), 1, $BN8)</f>
        <v>ㄆ</v>
      </c>
      <c r="BR8" s="355" t="str" cm="1">
        <f t="array" ref="BR8" xml:space="preserve"> INDEX(_xlfn.ANCHORARRAY($D$20), 1, $BN8)</f>
        <v>p</v>
      </c>
      <c r="BS8" s="356" t="str" cm="1">
        <f t="array" ref="BS8" xml:space="preserve"> INDEX(注音編碼對照表[聲韻調], MATCH(TRUE, EXACT($BP8, 注音編碼對照表[鍵盤按鍵]), 0))</f>
        <v>聲</v>
      </c>
      <c r="BT8" s="357">
        <f t="shared" si="2"/>
        <v>1</v>
      </c>
      <c r="BU8" s="14"/>
      <c r="BV8" s="123" t="str">
        <f t="shared" si="3"/>
        <v xml:space="preserve">    "q": { commit: "ㄆ" }  # /p/ ==&gt; p</v>
      </c>
      <c r="BW8" s="40"/>
      <c r="BX8" s="39">
        <f t="shared" si="4"/>
        <v>4</v>
      </c>
      <c r="BY8" s="332" t="str">
        <v>H</v>
      </c>
      <c r="BZ8" s="271" t="str">
        <v>o</v>
      </c>
      <c r="CA8" s="269" t="str">
        <v>ㆲ</v>
      </c>
      <c r="CB8" s="10" t="str">
        <v>ong</v>
      </c>
      <c r="CC8" s="270" t="str">
        <v>韻</v>
      </c>
      <c r="CD8" s="272">
        <v>3</v>
      </c>
      <c r="CF8" s="242" t="str">
        <f t="shared" ref="CF8:CF27" si="10" xml:space="preserve"> IFERROR( IF(LEN(BY8)=0, "", IF(BY8=CB8, "", "    - xform/" &amp; CB8 &amp; "/" &amp; BY8 &amp; "/  # " &amp; "【" &amp; BZ8 &amp; "】 ==&gt; " &amp; CC8 &amp; "： " &amp; CA8 &amp; " [" &amp; CB8 &amp; "]")), "")</f>
        <v xml:space="preserve">    - xform/ong/H/  # 【o】 ==&gt; 韻： ㆲ [ong]</v>
      </c>
      <c r="CG8" s="39">
        <f t="shared" si="5"/>
        <v>4</v>
      </c>
      <c r="CH8" s="332" t="str">
        <v>D</v>
      </c>
      <c r="CI8" s="271" t="str">
        <v>U</v>
      </c>
      <c r="CJ8" s="269" t="str">
        <v>ㆪ</v>
      </c>
      <c r="CK8" s="10" t="str">
        <v>ni</v>
      </c>
      <c r="CL8" s="270" t="str">
        <v>韻</v>
      </c>
      <c r="CM8" s="272">
        <v>2</v>
      </c>
      <c r="CO8" s="242" t="str">
        <f t="shared" si="6"/>
        <v xml:space="preserve">    - xform/ni/D/  # 【U】 ==&gt; 韻： ㆪ [ni]</v>
      </c>
      <c r="CP8" s="39">
        <f t="shared" si="7"/>
        <v>4</v>
      </c>
      <c r="CQ8" s="332" t="str">
        <v>n</v>
      </c>
      <c r="CR8" s="271" t="str">
        <v>s</v>
      </c>
      <c r="CS8" s="269" t="str">
        <v>ㄋ</v>
      </c>
      <c r="CT8" s="10" t="str">
        <v>ln</v>
      </c>
      <c r="CU8" s="270" t="str">
        <v>聲</v>
      </c>
      <c r="CV8" s="272">
        <v>2</v>
      </c>
      <c r="CX8" s="377" t="str">
        <f t="shared" si="8"/>
        <v xml:space="preserve">    - xform/^ln/n/  # 【s】 ==&gt; 聲： ㄋ [ln]</v>
      </c>
      <c r="CY8" s="39">
        <f t="shared" si="9"/>
        <v>4</v>
      </c>
      <c r="CZ8" s="332"/>
      <c r="DA8" s="271"/>
      <c r="DB8" s="269"/>
      <c r="DC8" s="10"/>
      <c r="DD8" s="270"/>
      <c r="DE8" s="272"/>
      <c r="DG8" s="242"/>
    </row>
    <row r="9" spans="1:111" s="15" customFormat="1" ht="45" customHeight="1">
      <c r="A9" s="22"/>
      <c r="B9" s="22"/>
      <c r="C9" s="44"/>
      <c r="D9" s="25"/>
      <c r="E9" s="100"/>
      <c r="F9" s="262"/>
      <c r="G9" s="102"/>
      <c r="H9" s="100"/>
      <c r="I9" s="99"/>
      <c r="J9" s="102"/>
      <c r="K9" s="100"/>
      <c r="L9" s="99"/>
      <c r="M9" s="102"/>
      <c r="N9" s="100"/>
      <c r="O9" s="99"/>
      <c r="P9" s="102"/>
      <c r="Q9" s="100"/>
      <c r="R9" s="99"/>
      <c r="S9" s="117"/>
      <c r="T9" s="100"/>
      <c r="U9" s="118"/>
      <c r="V9" s="26" t="s">
        <v>80</v>
      </c>
      <c r="W9" s="111">
        <v>0</v>
      </c>
      <c r="X9" s="110" t="s">
        <v>254</v>
      </c>
      <c r="Y9" s="112" t="s">
        <v>305</v>
      </c>
      <c r="Z9" s="109"/>
      <c r="AA9" s="113" t="s">
        <v>255</v>
      </c>
      <c r="AB9" s="26" t="s">
        <v>85</v>
      </c>
      <c r="AC9" s="109"/>
      <c r="AD9" s="110" t="s">
        <v>138</v>
      </c>
      <c r="AE9" s="390" t="s">
        <v>263</v>
      </c>
      <c r="AF9" s="391"/>
      <c r="AG9" s="392" t="s">
        <v>280</v>
      </c>
      <c r="AH9" s="114"/>
      <c r="AI9" s="115"/>
      <c r="AJ9" s="116"/>
      <c r="AK9" s="22"/>
      <c r="AL9" s="22"/>
      <c r="AM9" s="22"/>
      <c r="AN9" s="22"/>
      <c r="AO9" s="22"/>
      <c r="AP9" s="22"/>
      <c r="AQ9" s="22"/>
      <c r="AR9" s="23"/>
      <c r="AS9" s="23"/>
      <c r="AT9" s="22"/>
      <c r="AU9" s="22"/>
      <c r="AV9" s="22"/>
      <c r="BN9" s="39">
        <f t="shared" si="1"/>
        <v>5</v>
      </c>
      <c r="BO9" s="354" t="str" cm="1">
        <f t="array" ref="BO9" xml:space="preserve"> INDEX(_xlfn.ANCHORARRAY($D$17), 1, $BN9)</f>
        <v>n</v>
      </c>
      <c r="BP9" s="351" t="str" cm="1">
        <f t="array" ref="BP9" xml:space="preserve"> INDEX(_xlfn.ANCHORARRAY($D$18), 1, $BN9)</f>
        <v>s</v>
      </c>
      <c r="BQ9" s="269" t="str" cm="1">
        <f t="array" ref="BQ9" xml:space="preserve"> INDEX(_xlfn.ANCHORARRAY($D$19), 1, $BN9)</f>
        <v>ㄋ</v>
      </c>
      <c r="BR9" s="355" t="str" cm="1">
        <f t="array" ref="BR9" xml:space="preserve"> INDEX(_xlfn.ANCHORARRAY($D$20), 1, $BN9)</f>
        <v>ln</v>
      </c>
      <c r="BS9" s="356" t="str" cm="1">
        <f t="array" ref="BS9" xml:space="preserve"> INDEX(注音編碼對照表[聲韻調], MATCH(TRUE, EXACT($BP9, 注音編碼對照表[鍵盤按鍵]), 0))</f>
        <v>聲</v>
      </c>
      <c r="BT9" s="357">
        <f t="shared" si="2"/>
        <v>2</v>
      </c>
      <c r="BV9" s="123" t="str">
        <f t="shared" si="3"/>
        <v xml:space="preserve">    "s": { commit: "ㄋ" }  # /ln/ ==&gt; n</v>
      </c>
      <c r="BW9" s="40"/>
      <c r="BX9" s="39">
        <f t="shared" si="4"/>
        <v>5</v>
      </c>
      <c r="BY9" s="332" t="str">
        <v>w</v>
      </c>
      <c r="BZ9" s="271" t="str">
        <v>K</v>
      </c>
      <c r="CA9" s="269" t="str">
        <v>ㆨ</v>
      </c>
      <c r="CB9" s="10" t="str">
        <v>eu</v>
      </c>
      <c r="CC9" s="270" t="str">
        <v>韻</v>
      </c>
      <c r="CD9" s="272">
        <v>2</v>
      </c>
      <c r="CF9" s="242" t="str">
        <f t="shared" si="10"/>
        <v xml:space="preserve">    - xform/eu/w/  # 【K】 ==&gt; 韻： ㆨ [eu]</v>
      </c>
      <c r="CG9" s="39">
        <f t="shared" si="5"/>
        <v>5</v>
      </c>
      <c r="CH9" s="332" t="str">
        <v>X</v>
      </c>
      <c r="CI9" s="271" t="str">
        <v>J</v>
      </c>
      <c r="CJ9" s="269" t="str">
        <v>ㆫ</v>
      </c>
      <c r="CK9" s="10" t="str">
        <v>nu</v>
      </c>
      <c r="CL9" s="270" t="str">
        <v>韻</v>
      </c>
      <c r="CM9" s="272">
        <v>2</v>
      </c>
      <c r="CO9" s="242" t="str">
        <f t="shared" si="6"/>
        <v xml:space="preserve">    - xform/nu/X/  # 【J】 ==&gt; 韻： ㆫ [nu]</v>
      </c>
      <c r="CP9" s="39">
        <f t="shared" si="7"/>
        <v>5</v>
      </c>
      <c r="CQ9" s="332" t="str">
        <v>v</v>
      </c>
      <c r="CR9" s="271" t="str">
        <v>E</v>
      </c>
      <c r="CS9" s="269" t="str">
        <v>ㆣ</v>
      </c>
      <c r="CT9" s="10" t="str">
        <v>gg</v>
      </c>
      <c r="CU9" s="270" t="str">
        <v>聲</v>
      </c>
      <c r="CV9" s="272">
        <v>2</v>
      </c>
      <c r="CX9" s="377" t="str">
        <f t="shared" si="8"/>
        <v xml:space="preserve">    - xform/^gg/v/  # 【E】 ==&gt; 聲： ㆣ [gg]</v>
      </c>
      <c r="CY9" s="39">
        <f t="shared" si="9"/>
        <v>5</v>
      </c>
      <c r="CZ9" s="332"/>
      <c r="DA9" s="271"/>
      <c r="DB9" s="269"/>
      <c r="DC9" s="10"/>
      <c r="DD9" s="270"/>
      <c r="DE9" s="272"/>
      <c r="DG9" s="242"/>
    </row>
    <row r="10" spans="1:111" ht="45" customHeight="1" thickBot="1">
      <c r="A10" s="27"/>
      <c r="B10" s="27"/>
      <c r="C10" s="27"/>
      <c r="D10" s="28" t="s">
        <v>56</v>
      </c>
      <c r="E10" s="29"/>
      <c r="F10" s="31" t="s">
        <v>576</v>
      </c>
      <c r="G10" s="28" t="s">
        <v>18</v>
      </c>
      <c r="H10" s="29"/>
      <c r="I10" s="31" t="s">
        <v>577</v>
      </c>
      <c r="J10" s="28" t="s">
        <v>22</v>
      </c>
      <c r="K10" s="29">
        <v>0</v>
      </c>
      <c r="L10" s="43" t="s">
        <v>21</v>
      </c>
      <c r="M10" s="28" t="s">
        <v>63</v>
      </c>
      <c r="N10" s="29"/>
      <c r="O10" s="43" t="s">
        <v>568</v>
      </c>
      <c r="P10" s="41" t="s">
        <v>91</v>
      </c>
      <c r="Q10" s="29"/>
      <c r="R10" s="43" t="s">
        <v>571</v>
      </c>
      <c r="S10" s="41" t="s">
        <v>27</v>
      </c>
      <c r="T10" s="29"/>
      <c r="U10" s="43" t="s">
        <v>152</v>
      </c>
      <c r="V10" s="32" t="s">
        <v>36</v>
      </c>
      <c r="W10" s="33"/>
      <c r="X10" s="36" t="s">
        <v>113</v>
      </c>
      <c r="Y10" s="32" t="s">
        <v>233</v>
      </c>
      <c r="Z10" s="33"/>
      <c r="AA10" s="36" t="s">
        <v>378</v>
      </c>
      <c r="AB10" s="32" t="s">
        <v>48</v>
      </c>
      <c r="AC10" s="33"/>
      <c r="AD10" s="36" t="s">
        <v>160</v>
      </c>
      <c r="AE10" s="32" t="s">
        <v>65</v>
      </c>
      <c r="AF10" s="35"/>
      <c r="AG10" s="36" t="s">
        <v>101</v>
      </c>
      <c r="AH10" s="32"/>
      <c r="AI10" s="35"/>
      <c r="AJ10" s="36"/>
      <c r="AK10" s="27"/>
      <c r="AL10" s="27"/>
      <c r="AM10" s="27"/>
      <c r="AN10" s="27"/>
      <c r="AO10" s="27"/>
      <c r="AP10" s="27"/>
      <c r="AQ10" s="27"/>
      <c r="AR10" s="20"/>
      <c r="AS10" s="20"/>
      <c r="AT10" s="27"/>
      <c r="AU10" s="27"/>
      <c r="AV10" s="27"/>
      <c r="BN10" s="39">
        <f t="shared" si="1"/>
        <v>6</v>
      </c>
      <c r="BO10" s="354" t="str" cm="1">
        <f t="array" ref="BO10" xml:space="preserve"> INDEX(_xlfn.ANCHORARRAY($D$17), 1, $BN10)</f>
        <v>d</v>
      </c>
      <c r="BP10" s="351" t="str" cm="1">
        <f t="array" ref="BP10" xml:space="preserve"> INDEX(_xlfn.ANCHORARRAY($D$18), 1, $BN10)</f>
        <v>2</v>
      </c>
      <c r="BQ10" s="269" t="str" cm="1">
        <f t="array" ref="BQ10" xml:space="preserve"> INDEX(_xlfn.ANCHORARRAY($D$19), 1, $BN10)</f>
        <v>ㄉ</v>
      </c>
      <c r="BR10" s="355" t="str" cm="1">
        <f t="array" ref="BR10" xml:space="preserve"> INDEX(_xlfn.ANCHORARRAY($D$20), 1, $BN10)</f>
        <v>d</v>
      </c>
      <c r="BS10" s="356" t="str" cm="1">
        <f t="array" ref="BS10" xml:space="preserve"> INDEX(注音編碼對照表[聲韻調], MATCH(TRUE, EXACT($BP10, 注音編碼對照表[鍵盤按鍵]), 0))</f>
        <v>聲</v>
      </c>
      <c r="BT10" s="357">
        <f t="shared" si="2"/>
        <v>1</v>
      </c>
      <c r="BU10" s="15"/>
      <c r="BV10" s="123" t="str">
        <f t="shared" si="3"/>
        <v xml:space="preserve">    "2": { commit: "ㄉ" }  # /d/ ==&gt; d</v>
      </c>
      <c r="BW10" s="40"/>
      <c r="BX10" s="39">
        <f t="shared" si="4"/>
        <v>6</v>
      </c>
      <c r="BY10" s="332" t="str">
        <v>O</v>
      </c>
      <c r="BZ10" s="271" t="str">
        <v>i</v>
      </c>
      <c r="CA10" s="269" t="str">
        <v>ㆦ</v>
      </c>
      <c r="CB10" s="10" t="str">
        <v>oo</v>
      </c>
      <c r="CC10" s="270" t="str">
        <v>韻</v>
      </c>
      <c r="CD10" s="272">
        <v>2</v>
      </c>
      <c r="CF10" s="242" t="str">
        <f t="shared" si="10"/>
        <v xml:space="preserve">    - xform/oo/O/  # 【i】 ==&gt; 韻： ㆦ [oo]</v>
      </c>
      <c r="CG10" s="39">
        <f t="shared" si="5"/>
        <v>6</v>
      </c>
      <c r="CH10" s="332" t="str">
        <v>E</v>
      </c>
      <c r="CI10" s="271" t="str">
        <v>&lt;</v>
      </c>
      <c r="CJ10" s="269" t="str">
        <v>ㆥ</v>
      </c>
      <c r="CK10" s="10" t="str">
        <v>ne</v>
      </c>
      <c r="CL10" s="270" t="str">
        <v>韻</v>
      </c>
      <c r="CM10" s="272">
        <v>2</v>
      </c>
      <c r="CO10" s="242" t="str">
        <f t="shared" si="6"/>
        <v xml:space="preserve">    - xform/ne/E/  # 【&lt;】 ==&gt; 韻： ㆥ [ne]</v>
      </c>
      <c r="CP10" s="39">
        <f t="shared" si="7"/>
        <v>6</v>
      </c>
      <c r="CQ10" s="332" t="str">
        <v>Z</v>
      </c>
      <c r="CR10" s="271" t="str">
        <v>Y</v>
      </c>
      <c r="CS10" s="269" t="str">
        <v>ㆡ</v>
      </c>
      <c r="CT10" s="10" t="str">
        <v>zz</v>
      </c>
      <c r="CU10" s="270" t="str">
        <v>聲</v>
      </c>
      <c r="CV10" s="272">
        <v>2</v>
      </c>
      <c r="CX10" s="377" t="str">
        <f t="shared" si="8"/>
        <v xml:space="preserve">    - xform/^zz/Z/  # 【Y】 ==&gt; 聲： ㆡ [zz]</v>
      </c>
      <c r="CY10" s="39">
        <f t="shared" si="9"/>
        <v>6</v>
      </c>
      <c r="CZ10" s="332"/>
      <c r="DA10" s="271"/>
      <c r="DB10" s="269"/>
      <c r="DC10" s="10"/>
      <c r="DD10" s="270"/>
      <c r="DE10" s="272"/>
    </row>
    <row r="11" spans="1:111" s="15" customFormat="1" ht="45" customHeight="1">
      <c r="A11" s="22"/>
      <c r="B11" s="22"/>
      <c r="C11" s="22"/>
      <c r="D11" s="22"/>
      <c r="E11" s="226" t="s">
        <v>224</v>
      </c>
      <c r="F11" s="227"/>
      <c r="G11" s="228"/>
      <c r="H11" s="226" t="s">
        <v>291</v>
      </c>
      <c r="I11" s="227"/>
      <c r="J11" s="228"/>
      <c r="K11" s="226" t="s">
        <v>227</v>
      </c>
      <c r="L11" s="227"/>
      <c r="M11" s="228"/>
      <c r="N11" s="226" t="s">
        <v>292</v>
      </c>
      <c r="O11" s="227"/>
      <c r="P11" s="228"/>
      <c r="Q11" s="226" t="s">
        <v>96</v>
      </c>
      <c r="R11" s="227"/>
      <c r="S11" s="228"/>
      <c r="T11" s="226" t="s">
        <v>293</v>
      </c>
      <c r="U11" s="227"/>
      <c r="V11" s="228"/>
      <c r="W11" s="235" t="s">
        <v>257</v>
      </c>
      <c r="X11" s="236"/>
      <c r="Y11" s="237"/>
      <c r="Z11" s="235" t="s">
        <v>294</v>
      </c>
      <c r="AA11" s="236"/>
      <c r="AB11" s="237"/>
      <c r="AC11" s="235" t="s">
        <v>295</v>
      </c>
      <c r="AD11" s="236"/>
      <c r="AE11" s="237"/>
      <c r="AF11" s="238" t="s">
        <v>296</v>
      </c>
      <c r="AG11" s="239"/>
      <c r="AH11" s="240"/>
      <c r="AI11" s="22"/>
      <c r="AJ11" s="22"/>
      <c r="AK11" s="22"/>
      <c r="AL11" s="22"/>
      <c r="AM11" s="22"/>
      <c r="AN11" s="22"/>
      <c r="AO11" s="22"/>
      <c r="AP11" s="22"/>
      <c r="AQ11" s="22"/>
      <c r="AR11" s="23"/>
      <c r="AS11" s="23"/>
      <c r="AT11" s="22"/>
      <c r="AU11" s="22"/>
      <c r="AV11" s="22"/>
      <c r="BN11" s="39">
        <f t="shared" si="1"/>
        <v>7</v>
      </c>
      <c r="BO11" s="354" t="str" cm="1">
        <f t="array" ref="BO11" xml:space="preserve"> INDEX(_xlfn.ANCHORARRAY($D$17), 1, $BN11)</f>
        <v>t</v>
      </c>
      <c r="BP11" s="351" t="str" cm="1">
        <f t="array" ref="BP11" xml:space="preserve"> INDEX(_xlfn.ANCHORARRAY($D$18), 1, $BN11)</f>
        <v>w</v>
      </c>
      <c r="BQ11" s="269" t="str" cm="1">
        <f t="array" ref="BQ11" xml:space="preserve"> INDEX(_xlfn.ANCHORARRAY($D$19), 1, $BN11)</f>
        <v>ㄊ</v>
      </c>
      <c r="BR11" s="355" t="str" cm="1">
        <f t="array" ref="BR11" xml:space="preserve"> INDEX(_xlfn.ANCHORARRAY($D$20), 1, $BN11)</f>
        <v>t</v>
      </c>
      <c r="BS11" s="356" t="str" cm="1">
        <f t="array" ref="BS11" xml:space="preserve"> INDEX(注音編碼對照表[聲韻調], MATCH(TRUE, EXACT($BP11, 注音編碼對照表[鍵盤按鍵]), 0))</f>
        <v>聲</v>
      </c>
      <c r="BT11" s="357">
        <f t="shared" si="2"/>
        <v>1</v>
      </c>
      <c r="BU11" s="14"/>
      <c r="BV11" s="123" t="str">
        <f t="shared" si="3"/>
        <v xml:space="preserve">    "w": { commit: "ㄊ" }  # /t/ ==&gt; t</v>
      </c>
      <c r="BW11" s="40"/>
      <c r="BX11" s="39">
        <f t="shared" si="4"/>
        <v>7</v>
      </c>
      <c r="BY11" s="332" t="str">
        <v>I</v>
      </c>
      <c r="BZ11" s="271" t="str">
        <v>9</v>
      </c>
      <c r="CA11" s="269" t="str">
        <v>ㄞ</v>
      </c>
      <c r="CB11" s="10" t="str">
        <v>ai</v>
      </c>
      <c r="CC11" s="270" t="str">
        <v>韻</v>
      </c>
      <c r="CD11" s="272">
        <v>2</v>
      </c>
      <c r="CF11" s="242" t="str">
        <f t="shared" si="10"/>
        <v xml:space="preserve">    - xform/ai/I/  # 【9】 ==&gt; 韻： ㄞ [ai]</v>
      </c>
      <c r="CG11" s="39">
        <f t="shared" si="5"/>
        <v>7</v>
      </c>
      <c r="CH11" s="332" t="str">
        <v>Q</v>
      </c>
      <c r="CI11" s="271" t="str">
        <v>I</v>
      </c>
      <c r="CJ11" s="269" t="str">
        <v>ㆧ</v>
      </c>
      <c r="CK11" s="10" t="str">
        <v>no</v>
      </c>
      <c r="CL11" s="270" t="str">
        <v>韻</v>
      </c>
      <c r="CM11" s="272">
        <v>2</v>
      </c>
      <c r="CO11" s="242" t="str">
        <f t="shared" si="6"/>
        <v xml:space="preserve">    - xform/no/Q/  # 【I】 ==&gt; 韻： ㆧ [no]</v>
      </c>
      <c r="CP11" s="39">
        <f t="shared" si="7"/>
        <v>7</v>
      </c>
      <c r="CQ11" s="332" t="str">
        <v>J</v>
      </c>
      <c r="CR11" s="271" t="str">
        <v>R</v>
      </c>
      <c r="CS11" s="269" t="str">
        <v>ㆢ</v>
      </c>
      <c r="CT11" s="10" t="str">
        <v>jj</v>
      </c>
      <c r="CU11" s="270" t="str">
        <v>聲</v>
      </c>
      <c r="CV11" s="272">
        <v>2</v>
      </c>
      <c r="CX11" s="377" t="str">
        <f t="shared" si="8"/>
        <v xml:space="preserve">    - xform/^jj/J/  # 【R】 ==&gt; 聲： ㆢ [jj]</v>
      </c>
      <c r="CY11" s="39">
        <f t="shared" si="9"/>
        <v>7</v>
      </c>
      <c r="CZ11" s="332"/>
      <c r="DA11" s="271"/>
      <c r="DB11" s="269"/>
      <c r="DC11" s="10"/>
      <c r="DD11" s="270"/>
      <c r="DE11" s="272"/>
      <c r="DG11" s="242"/>
    </row>
    <row r="12" spans="1:111" s="15" customFormat="1" ht="45" customHeight="1">
      <c r="A12" s="22"/>
      <c r="B12" s="22"/>
      <c r="C12" s="22"/>
      <c r="D12" s="22"/>
      <c r="E12" s="102"/>
      <c r="F12" s="100"/>
      <c r="G12" s="99"/>
      <c r="H12" s="102"/>
      <c r="I12" s="100"/>
      <c r="J12" s="99"/>
      <c r="K12" s="102"/>
      <c r="L12" s="100"/>
      <c r="M12" s="99"/>
      <c r="N12" s="102"/>
      <c r="O12" s="100"/>
      <c r="P12" s="99"/>
      <c r="Q12" s="117"/>
      <c r="R12" s="100"/>
      <c r="S12" s="118"/>
      <c r="T12" s="25" t="s">
        <v>60</v>
      </c>
      <c r="U12" s="100"/>
      <c r="V12" s="99" t="s">
        <v>315</v>
      </c>
      <c r="W12" s="26" t="s">
        <v>69</v>
      </c>
      <c r="X12" s="109"/>
      <c r="Y12" s="110" t="s">
        <v>117</v>
      </c>
      <c r="Z12" s="26" t="s">
        <v>83</v>
      </c>
      <c r="AA12" s="111">
        <v>0</v>
      </c>
      <c r="AB12" s="110" t="s">
        <v>141</v>
      </c>
      <c r="AC12" s="277" t="s">
        <v>587</v>
      </c>
      <c r="AD12" s="278"/>
      <c r="AE12" s="279" t="s">
        <v>588</v>
      </c>
      <c r="AF12" s="45"/>
      <c r="AG12" s="109"/>
      <c r="AH12" s="110"/>
      <c r="AI12" s="22"/>
      <c r="AJ12" s="22"/>
      <c r="AK12" s="22"/>
      <c r="AL12" s="22"/>
      <c r="AM12" s="22"/>
      <c r="AN12" s="22"/>
      <c r="AO12" s="22"/>
      <c r="AP12" s="22"/>
      <c r="AQ12" s="22" t="s">
        <v>180</v>
      </c>
      <c r="AR12" s="23"/>
      <c r="AS12" s="23"/>
      <c r="AT12" s="22"/>
      <c r="AU12" s="22"/>
      <c r="AV12" s="22"/>
      <c r="BN12" s="39">
        <f t="shared" si="1"/>
        <v>8</v>
      </c>
      <c r="BO12" s="354" t="str" cm="1">
        <f t="array" ref="BO12" xml:space="preserve"> INDEX(_xlfn.ANCHORARRAY($D$17), 1, $BN12)</f>
        <v>l</v>
      </c>
      <c r="BP12" s="351" t="str" cm="1">
        <f t="array" ref="BP12" xml:space="preserve"> INDEX(_xlfn.ANCHORARRAY($D$18), 1, $BN12)</f>
        <v>x</v>
      </c>
      <c r="BQ12" s="269" t="str" cm="1">
        <f t="array" ref="BQ12" xml:space="preserve"> INDEX(_xlfn.ANCHORARRAY($D$19), 1, $BN12)</f>
        <v>ㄌ</v>
      </c>
      <c r="BR12" s="355" t="str" cm="1">
        <f t="array" ref="BR12" xml:space="preserve"> INDEX(_xlfn.ANCHORARRAY($D$20), 1, $BN12)</f>
        <v>l</v>
      </c>
      <c r="BS12" s="356" t="str" cm="1">
        <f t="array" ref="BS12" xml:space="preserve"> INDEX(注音編碼對照表[聲韻調], MATCH(TRUE, EXACT($BP12, 注音編碼對照表[鍵盤按鍵]), 0))</f>
        <v>聲</v>
      </c>
      <c r="BT12" s="357">
        <f t="shared" si="2"/>
        <v>1</v>
      </c>
      <c r="BV12" s="123" t="str">
        <f t="shared" si="3"/>
        <v xml:space="preserve">    "x": { commit: "ㄌ" }  # /l/ ==&gt; l</v>
      </c>
      <c r="BW12" s="40"/>
      <c r="BX12" s="39">
        <f t="shared" si="4"/>
        <v>8</v>
      </c>
      <c r="BY12" s="332" t="str">
        <v>U</v>
      </c>
      <c r="BZ12" s="271" t="str">
        <v>l</v>
      </c>
      <c r="CA12" s="269" t="str">
        <v>ㄠ</v>
      </c>
      <c r="CB12" s="10" t="str">
        <v>au</v>
      </c>
      <c r="CC12" s="270" t="str">
        <v>韻</v>
      </c>
      <c r="CD12" s="272">
        <v>2</v>
      </c>
      <c r="CF12" s="242" t="str">
        <f t="shared" si="10"/>
        <v xml:space="preserve">    - xform/au/U/  # 【l】 ==&gt; 韻： ㄠ [au]</v>
      </c>
      <c r="CG12" s="39">
        <f t="shared" si="5"/>
        <v>8</v>
      </c>
      <c r="CH12" s="332" t="str">
        <v>G</v>
      </c>
      <c r="CI12" s="271" t="str">
        <v>/</v>
      </c>
      <c r="CJ12" s="269" t="str">
        <v>ㆭ</v>
      </c>
      <c r="CK12" s="10" t="str">
        <v>ng</v>
      </c>
      <c r="CL12" s="270" t="str">
        <v>韻</v>
      </c>
      <c r="CM12" s="272">
        <v>2</v>
      </c>
      <c r="CO12" s="242" t="str">
        <f t="shared" si="6"/>
        <v xml:space="preserve">    - xform/ng/G/  # 【/】 ==&gt; 韻： ㆭ [ng]</v>
      </c>
      <c r="CP12" s="39">
        <f t="shared" si="7"/>
        <v>8</v>
      </c>
      <c r="CQ12" s="332" t="str">
        <v>C</v>
      </c>
      <c r="CR12" s="271" t="str">
        <v>f</v>
      </c>
      <c r="CS12" s="269" t="str">
        <v>ㄑ</v>
      </c>
      <c r="CT12" s="10" t="str">
        <v>ch</v>
      </c>
      <c r="CU12" s="270" t="str">
        <v>聲</v>
      </c>
      <c r="CV12" s="272">
        <v>2</v>
      </c>
      <c r="CX12" s="377" t="str">
        <f t="shared" si="8"/>
        <v xml:space="preserve">    - xform/^ch/C/  # 【f】 ==&gt; 聲： ㄑ [ch]</v>
      </c>
      <c r="CY12" s="39">
        <f t="shared" si="9"/>
        <v>8</v>
      </c>
      <c r="CZ12" s="332"/>
      <c r="DA12" s="271"/>
      <c r="DB12" s="269"/>
      <c r="DC12" s="10"/>
      <c r="DD12" s="270"/>
      <c r="DE12" s="272"/>
      <c r="DG12" s="242"/>
    </row>
    <row r="13" spans="1:111" ht="45" customHeight="1" thickBot="1">
      <c r="A13" s="27"/>
      <c r="B13" s="27"/>
      <c r="C13" s="27"/>
      <c r="D13" s="27"/>
      <c r="E13" s="41" t="s">
        <v>92</v>
      </c>
      <c r="F13" s="29"/>
      <c r="G13" s="43" t="s">
        <v>573</v>
      </c>
      <c r="H13" s="28" t="s">
        <v>58</v>
      </c>
      <c r="I13" s="29"/>
      <c r="J13" s="31" t="s">
        <v>59</v>
      </c>
      <c r="K13" s="28" t="s">
        <v>32</v>
      </c>
      <c r="L13" s="29"/>
      <c r="M13" s="43" t="s">
        <v>208</v>
      </c>
      <c r="N13" s="28" t="s">
        <v>149</v>
      </c>
      <c r="O13" s="29"/>
      <c r="P13" s="43" t="s">
        <v>569</v>
      </c>
      <c r="Q13" s="41" t="s">
        <v>89</v>
      </c>
      <c r="R13" s="29"/>
      <c r="S13" s="43" t="s">
        <v>572</v>
      </c>
      <c r="T13" s="28" t="s">
        <v>30</v>
      </c>
      <c r="U13" s="29"/>
      <c r="V13" s="43" t="s">
        <v>167</v>
      </c>
      <c r="W13" s="32" t="s">
        <v>97</v>
      </c>
      <c r="X13" s="33"/>
      <c r="Y13" s="36" t="s">
        <v>311</v>
      </c>
      <c r="Z13" s="32" t="s">
        <v>40</v>
      </c>
      <c r="AA13" s="33">
        <v>0</v>
      </c>
      <c r="AB13" s="36" t="s">
        <v>162</v>
      </c>
      <c r="AC13" s="32" t="s">
        <v>88</v>
      </c>
      <c r="AD13" s="33"/>
      <c r="AE13" s="36" t="s">
        <v>589</v>
      </c>
      <c r="AF13" s="32" t="s">
        <v>50</v>
      </c>
      <c r="AG13" s="33"/>
      <c r="AH13" s="36" t="s">
        <v>239</v>
      </c>
      <c r="AI13" s="27"/>
      <c r="AJ13" s="27"/>
      <c r="AK13" s="27"/>
      <c r="AL13" s="27"/>
      <c r="AM13" s="27"/>
      <c r="AN13" s="27"/>
      <c r="AO13" s="27"/>
      <c r="AP13" s="27"/>
      <c r="AQ13" s="27"/>
      <c r="AR13" s="20"/>
      <c r="AS13" s="20"/>
      <c r="AT13" s="27"/>
      <c r="AU13" s="27"/>
      <c r="AV13" s="27"/>
      <c r="BJ13" s="15"/>
      <c r="BK13" s="15"/>
      <c r="BN13" s="39">
        <f t="shared" si="1"/>
        <v>9</v>
      </c>
      <c r="BO13" s="354" t="str" cm="1">
        <f t="array" ref="BO13" xml:space="preserve"> INDEX(_xlfn.ANCHORARRAY($D$17), 1, $BN13)</f>
        <v>ŋ</v>
      </c>
      <c r="BP13" s="351" t="str" cm="1">
        <f t="array" ref="BP13" xml:space="preserve"> INDEX(_xlfn.ANCHORARRAY($D$18), 1, $BN13)</f>
        <v>N</v>
      </c>
      <c r="BQ13" s="269" t="str" cm="1">
        <f t="array" ref="BQ13" xml:space="preserve"> INDEX(_xlfn.ANCHORARRAY($D$19), 1, $BN13)</f>
        <v>ㄫ</v>
      </c>
      <c r="BR13" s="355" t="str" cm="1">
        <f t="array" ref="BR13" xml:space="preserve"> INDEX(_xlfn.ANCHORARRAY($D$20), 1, $BN13)</f>
        <v>ggn</v>
      </c>
      <c r="BS13" s="356" t="str" cm="1">
        <f t="array" ref="BS13" xml:space="preserve"> INDEX(注音編碼對照表[聲韻調], MATCH(TRUE, EXACT($BP13, 注音編碼對照表[鍵盤按鍵]), 0))</f>
        <v>聲</v>
      </c>
      <c r="BT13" s="357">
        <f t="shared" si="2"/>
        <v>3</v>
      </c>
      <c r="BU13" s="15"/>
      <c r="BV13" s="123" t="str">
        <f t="shared" si="3"/>
        <v xml:space="preserve">    "N": { commit: "ㄫ" }  # /ggn/ ==&gt; ŋ</v>
      </c>
      <c r="BW13" s="40"/>
      <c r="BX13" s="39">
        <f t="shared" si="4"/>
        <v>9</v>
      </c>
      <c r="BY13" s="332" t="str">
        <v>R</v>
      </c>
      <c r="BZ13" s="271" t="str">
        <v>*</v>
      </c>
      <c r="CA13" s="269" t="str">
        <v>ㆩ</v>
      </c>
      <c r="CB13" s="10" t="str">
        <v>na</v>
      </c>
      <c r="CC13" s="270" t="str">
        <v>韻</v>
      </c>
      <c r="CD13" s="272">
        <v>2</v>
      </c>
      <c r="CF13" s="242" t="str">
        <f t="shared" si="10"/>
        <v xml:space="preserve">    - xform/na/R/  # 【*】 ==&gt; 韻： ㆩ [na]</v>
      </c>
      <c r="CG13" s="39">
        <f t="shared" si="5"/>
        <v>9</v>
      </c>
      <c r="CH13" s="332" t="str">
        <v>N</v>
      </c>
      <c r="CI13" s="271" t="str">
        <v>p</v>
      </c>
      <c r="CJ13" s="269" t="str">
        <v>ㄣ</v>
      </c>
      <c r="CK13" s="10" t="str">
        <v>n</v>
      </c>
      <c r="CL13" s="270" t="str">
        <v>韻</v>
      </c>
      <c r="CM13" s="272">
        <v>1</v>
      </c>
      <c r="CO13" s="242" t="str">
        <f t="shared" si="6"/>
        <v xml:space="preserve">    - xform/n/N/  # 【p】 ==&gt; 韻： ㄣ [n]</v>
      </c>
      <c r="CP13" s="39">
        <f t="shared" si="7"/>
        <v>9</v>
      </c>
      <c r="CQ13" s="332" t="str">
        <v>S</v>
      </c>
      <c r="CR13" s="271" t="str">
        <v>v</v>
      </c>
      <c r="CS13" s="269" t="str">
        <v>ㄒ</v>
      </c>
      <c r="CT13" s="10" t="str">
        <v>sh</v>
      </c>
      <c r="CU13" s="270" t="str">
        <v>聲</v>
      </c>
      <c r="CV13" s="272">
        <v>2</v>
      </c>
      <c r="CX13" s="377" t="str">
        <f t="shared" si="8"/>
        <v xml:space="preserve">    - xform/^sh/S/  # 【v】 ==&gt; 聲： ㄒ [sh]</v>
      </c>
      <c r="CY13" s="39">
        <f t="shared" si="9"/>
        <v>9</v>
      </c>
      <c r="CZ13" s="332"/>
      <c r="DA13" s="271"/>
      <c r="DB13" s="269"/>
      <c r="DC13" s="10"/>
      <c r="DD13" s="270"/>
      <c r="DE13" s="272"/>
    </row>
    <row r="14" spans="1:111" ht="45" customHeight="1">
      <c r="BJ14" s="15"/>
      <c r="BK14" s="15"/>
      <c r="BN14" s="39">
        <f t="shared" si="1"/>
        <v>10</v>
      </c>
      <c r="BO14" s="354" t="str" cm="1">
        <f t="array" ref="BO14" xml:space="preserve"> INDEX(_xlfn.ANCHORARRAY($D$17), 1, $BN14)</f>
        <v>v</v>
      </c>
      <c r="BP14" s="351" t="str" cm="1">
        <f t="array" ref="BP14" xml:space="preserve"> INDEX(_xlfn.ANCHORARRAY($D$18), 1, $BN14)</f>
        <v>E</v>
      </c>
      <c r="BQ14" s="269" t="str" cm="1">
        <f t="array" ref="BQ14" xml:space="preserve"> INDEX(_xlfn.ANCHORARRAY($D$19), 1, $BN14)</f>
        <v>ㆣ</v>
      </c>
      <c r="BR14" s="355" t="str" cm="1">
        <f t="array" ref="BR14" xml:space="preserve"> INDEX(_xlfn.ANCHORARRAY($D$20), 1, $BN14)</f>
        <v>gg</v>
      </c>
      <c r="BS14" s="356" t="str" cm="1">
        <f t="array" ref="BS14" xml:space="preserve"> INDEX(注音編碼對照表[聲韻調], MATCH(TRUE, EXACT($BP14, 注音編碼對照表[鍵盤按鍵]), 0))</f>
        <v>聲</v>
      </c>
      <c r="BT14" s="357">
        <f t="shared" si="2"/>
        <v>2</v>
      </c>
      <c r="BV14" s="123" t="str">
        <f t="shared" si="3"/>
        <v xml:space="preserve">    "E": { commit: "ㆣ" }  # /gg/ ==&gt; v</v>
      </c>
      <c r="BW14" s="40"/>
      <c r="BX14" s="39">
        <f t="shared" si="4"/>
        <v>10</v>
      </c>
      <c r="BY14" s="332" t="str">
        <v>D</v>
      </c>
      <c r="BZ14" s="271" t="str">
        <v>U</v>
      </c>
      <c r="CA14" s="269" t="str">
        <v>ㆪ</v>
      </c>
      <c r="CB14" s="10" t="str">
        <v>ni</v>
      </c>
      <c r="CC14" s="270" t="str">
        <v>韻</v>
      </c>
      <c r="CD14" s="272">
        <v>2</v>
      </c>
      <c r="CF14" s="242" t="str">
        <f t="shared" si="10"/>
        <v xml:space="preserve">    - xform/ni/D/  # 【U】 ==&gt; 韻： ㆪ [ni]</v>
      </c>
      <c r="CG14" s="39">
        <f t="shared" si="5"/>
        <v>10</v>
      </c>
      <c r="CH14" s="332"/>
      <c r="CI14" s="271"/>
      <c r="CJ14" s="269"/>
      <c r="CK14" s="10"/>
      <c r="CL14" s="270"/>
      <c r="CM14" s="272"/>
      <c r="CO14" s="242" t="str">
        <f t="shared" si="6"/>
        <v/>
      </c>
      <c r="CP14" s="39">
        <f t="shared" si="7"/>
        <v>10</v>
      </c>
      <c r="CQ14" s="332" t="str">
        <v>b</v>
      </c>
      <c r="CR14" s="271" t="str">
        <v>1</v>
      </c>
      <c r="CS14" s="269" t="str">
        <v>ㄅ</v>
      </c>
      <c r="CT14" s="10" t="str">
        <v>b</v>
      </c>
      <c r="CU14" s="270" t="str">
        <v>聲</v>
      </c>
      <c r="CV14" s="272">
        <v>1</v>
      </c>
      <c r="CX14" s="377" t="str">
        <f t="shared" si="8"/>
        <v/>
      </c>
      <c r="CY14" s="39">
        <f t="shared" si="9"/>
        <v>10</v>
      </c>
      <c r="CZ14" s="332"/>
      <c r="DA14" s="271"/>
      <c r="DB14" s="269"/>
      <c r="DC14" s="10"/>
      <c r="DD14" s="270"/>
      <c r="DE14" s="272"/>
    </row>
    <row r="15" spans="1:111" s="16" customFormat="1" ht="4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0"/>
      <c r="AS15" s="20"/>
      <c r="AT15" s="27"/>
      <c r="AU15" s="27"/>
      <c r="AV15" s="27"/>
      <c r="AW15" s="14"/>
      <c r="AX15" s="14"/>
      <c r="AY15" s="14"/>
      <c r="AZ15" s="14"/>
      <c r="BA15" s="14"/>
      <c r="BB15" s="14"/>
      <c r="BC15" s="15"/>
      <c r="BD15" s="15"/>
      <c r="BE15" s="15"/>
      <c r="BF15" s="15"/>
      <c r="BG15" s="15"/>
      <c r="BH15" s="15"/>
      <c r="BI15" s="15"/>
      <c r="BJ15" s="15"/>
      <c r="BK15" s="15"/>
      <c r="BN15" s="39">
        <f t="shared" si="1"/>
        <v>11</v>
      </c>
      <c r="BO15" s="354" t="str" cm="1">
        <f t="array" ref="BO15" xml:space="preserve"> INDEX(_xlfn.ANCHORARRAY($D$17), 1, $BN15)</f>
        <v>g</v>
      </c>
      <c r="BP15" s="351" t="str" cm="1">
        <f t="array" ref="BP15" xml:space="preserve"> INDEX(_xlfn.ANCHORARRAY($D$18), 1, $BN15)</f>
        <v>e</v>
      </c>
      <c r="BQ15" s="269" t="str" cm="1">
        <f t="array" ref="BQ15" xml:space="preserve"> INDEX(_xlfn.ANCHORARRAY($D$19), 1, $BN15)</f>
        <v>ㄍ</v>
      </c>
      <c r="BR15" s="355" t="str" cm="1">
        <f t="array" ref="BR15" xml:space="preserve"> INDEX(_xlfn.ANCHORARRAY($D$20), 1, $BN15)</f>
        <v>g</v>
      </c>
      <c r="BS15" s="356" t="str" cm="1">
        <f t="array" ref="BS15" xml:space="preserve"> INDEX(注音編碼對照表[聲韻調], MATCH(TRUE, EXACT($BP15, 注音編碼對照表[鍵盤按鍵]), 0))</f>
        <v>聲</v>
      </c>
      <c r="BT15" s="357">
        <f t="shared" si="2"/>
        <v>1</v>
      </c>
      <c r="BU15" s="14"/>
      <c r="BV15" s="123" t="str">
        <f t="shared" si="3"/>
        <v xml:space="preserve">    "e": { commit: "ㄍ" }  # /g/ ==&gt; g</v>
      </c>
      <c r="BW15" s="40"/>
      <c r="BX15" s="39">
        <f t="shared" si="4"/>
        <v>11</v>
      </c>
      <c r="BY15" s="332" t="str">
        <v>X</v>
      </c>
      <c r="BZ15" s="271" t="str">
        <v>J</v>
      </c>
      <c r="CA15" s="269" t="str">
        <v>ㆫ</v>
      </c>
      <c r="CB15" s="10" t="str">
        <v>nu</v>
      </c>
      <c r="CC15" s="270" t="str">
        <v>韻</v>
      </c>
      <c r="CD15" s="272">
        <v>2</v>
      </c>
      <c r="CF15" s="242" t="str">
        <f t="shared" si="10"/>
        <v xml:space="preserve">    - xform/nu/X/  # 【J】 ==&gt; 韻： ㆫ [nu]</v>
      </c>
      <c r="CG15" s="39">
        <f t="shared" si="5"/>
        <v>11</v>
      </c>
      <c r="CH15" s="332"/>
      <c r="CI15" s="271"/>
      <c r="CJ15" s="269"/>
      <c r="CK15" s="10"/>
      <c r="CL15" s="270"/>
      <c r="CM15" s="272"/>
      <c r="CO15" s="242" t="str">
        <f t="shared" si="6"/>
        <v/>
      </c>
      <c r="CP15" s="39">
        <f t="shared" si="7"/>
        <v>11</v>
      </c>
      <c r="CQ15" s="332" t="str">
        <v>p</v>
      </c>
      <c r="CR15" s="271" t="str">
        <v>q</v>
      </c>
      <c r="CS15" s="269" t="str">
        <v>ㄆ</v>
      </c>
      <c r="CT15" s="10" t="str">
        <v>p</v>
      </c>
      <c r="CU15" s="270" t="str">
        <v>聲</v>
      </c>
      <c r="CV15" s="272">
        <v>1</v>
      </c>
      <c r="CX15" s="377" t="str">
        <f t="shared" si="8"/>
        <v/>
      </c>
      <c r="CY15" s="39">
        <f t="shared" si="9"/>
        <v>11</v>
      </c>
      <c r="CZ15" s="332"/>
      <c r="DA15" s="271"/>
      <c r="DB15" s="269"/>
      <c r="DC15" s="10"/>
      <c r="DD15" s="270"/>
      <c r="DE15" s="272"/>
      <c r="DG15" s="242"/>
    </row>
    <row r="16" spans="1:111" s="17" customFormat="1" ht="45" customHeight="1">
      <c r="A16" s="46"/>
      <c r="B16" s="47" t="s">
        <v>4</v>
      </c>
      <c r="C16" s="48"/>
      <c r="D16" s="49" cm="1">
        <f t="array" ref="D16" xml:space="preserve"> COLUMN() - COLUMN($C:$C)</f>
        <v>1</v>
      </c>
      <c r="E16" s="49" cm="1">
        <f t="array" ref="E16" xml:space="preserve"> COLUMN() - COLUMN($C:$C)</f>
        <v>2</v>
      </c>
      <c r="F16" s="49" cm="1">
        <f t="array" ref="F16" xml:space="preserve"> COLUMN() - COLUMN($C:$C)</f>
        <v>3</v>
      </c>
      <c r="G16" s="49" cm="1">
        <f t="array" ref="G16" xml:space="preserve"> COLUMN() - COLUMN($C:$C)</f>
        <v>4</v>
      </c>
      <c r="H16" s="49" cm="1">
        <f t="array" ref="H16" xml:space="preserve"> COLUMN() - COLUMN($C:$C)</f>
        <v>5</v>
      </c>
      <c r="I16" s="49" cm="1">
        <f t="array" ref="I16" xml:space="preserve"> COLUMN() - COLUMN($C:$C)</f>
        <v>6</v>
      </c>
      <c r="J16" s="49" cm="1">
        <f t="array" ref="J16" xml:space="preserve"> COLUMN() - COLUMN($C:$C)</f>
        <v>7</v>
      </c>
      <c r="K16" s="49" cm="1">
        <f t="array" ref="K16" xml:space="preserve"> COLUMN() - COLUMN($C:$C)</f>
        <v>8</v>
      </c>
      <c r="L16" s="49" cm="1">
        <f t="array" ref="L16" xml:space="preserve"> COLUMN() - COLUMN($C:$C)</f>
        <v>9</v>
      </c>
      <c r="M16" s="49" cm="1">
        <f t="array" ref="M16" xml:space="preserve"> COLUMN() - COLUMN($C:$C)</f>
        <v>10</v>
      </c>
      <c r="N16" s="49" cm="1">
        <f t="array" ref="N16" xml:space="preserve"> COLUMN() - COLUMN($C:$C)</f>
        <v>11</v>
      </c>
      <c r="O16" s="49" cm="1">
        <f t="array" ref="O16" xml:space="preserve"> COLUMN() - COLUMN($C:$C)</f>
        <v>12</v>
      </c>
      <c r="P16" s="49" cm="1">
        <f t="array" ref="P16" xml:space="preserve"> COLUMN() - COLUMN($C:$C)</f>
        <v>13</v>
      </c>
      <c r="Q16" s="49" cm="1">
        <f t="array" ref="Q16" xml:space="preserve"> COLUMN() - COLUMN($C:$C)</f>
        <v>14</v>
      </c>
      <c r="R16" s="49" cm="1">
        <f t="array" ref="R16" xml:space="preserve"> COLUMN() - COLUMN($C:$C)</f>
        <v>15</v>
      </c>
      <c r="S16" s="49" cm="1">
        <f t="array" ref="S16" xml:space="preserve"> COLUMN() - COLUMN($C:$C)</f>
        <v>16</v>
      </c>
      <c r="T16" s="49" cm="1">
        <f t="array" ref="T16" xml:space="preserve"> COLUMN() - COLUMN($C:$C)</f>
        <v>17</v>
      </c>
      <c r="U16" s="49" cm="1">
        <f t="array" ref="U16" xml:space="preserve"> COLUMN() - COLUMN($C:$C)</f>
        <v>18</v>
      </c>
      <c r="V16" s="49" cm="1">
        <f t="array" ref="V16" xml:space="preserve"> COLUMN() - COLUMN($C:$C)</f>
        <v>19</v>
      </c>
      <c r="W16" s="49" cm="1">
        <f t="array" ref="W16" xml:space="preserve"> COLUMN() - COLUMN($C:$C)</f>
        <v>20</v>
      </c>
      <c r="X16" s="49" cm="1">
        <f t="array" ref="X16" xml:space="preserve"> COLUMN() - COLUMN($C:$C)</f>
        <v>21</v>
      </c>
      <c r="Y16" s="50" cm="1">
        <f t="array" ref="Y16" xml:space="preserve"> COLUMN() - COLUMN($C:$C)</f>
        <v>22</v>
      </c>
      <c r="Z16" s="50" cm="1">
        <f t="array" ref="Z16" xml:space="preserve"> COLUMN() - COLUMN($C:$C)</f>
        <v>23</v>
      </c>
      <c r="AA16" s="50" cm="1">
        <f t="array" ref="AA16" xml:space="preserve"> COLUMN() - COLUMN($C:$C)</f>
        <v>24</v>
      </c>
      <c r="AB16" s="50" cm="1">
        <f t="array" ref="AB16" xml:space="preserve"> COLUMN() - COLUMN($C:$C)</f>
        <v>25</v>
      </c>
      <c r="AC16" s="50" cm="1">
        <f t="array" ref="AC16" xml:space="preserve"> COLUMN() - COLUMN($C:$C)</f>
        <v>26</v>
      </c>
      <c r="AD16" s="50" cm="1">
        <f t="array" ref="AD16" xml:space="preserve"> COLUMN() - COLUMN($C:$C)</f>
        <v>27</v>
      </c>
      <c r="AE16" s="50" cm="1">
        <f t="array" ref="AE16" xml:space="preserve"> COLUMN() - COLUMN($C:$C)</f>
        <v>28</v>
      </c>
      <c r="AF16" s="50" cm="1">
        <f t="array" ref="AF16" xml:space="preserve"> COLUMN() - COLUMN($C:$C)</f>
        <v>29</v>
      </c>
      <c r="AG16" s="50" cm="1">
        <f t="array" ref="AG16" xml:space="preserve"> COLUMN() - COLUMN($C:$C)</f>
        <v>30</v>
      </c>
      <c r="AH16" s="50" cm="1">
        <f t="array" ref="AH16" xml:space="preserve"> COLUMN() - COLUMN($C:$C)</f>
        <v>31</v>
      </c>
      <c r="AI16" s="50" cm="1">
        <f t="array" ref="AI16" xml:space="preserve"> COLUMN() - COLUMN($C:$C)</f>
        <v>32</v>
      </c>
      <c r="AJ16" s="50" cm="1">
        <f t="array" ref="AJ16" xml:space="preserve"> COLUMN() - COLUMN($C:$C)</f>
        <v>33</v>
      </c>
      <c r="AK16" s="50" cm="1">
        <f t="array" ref="AK16" xml:space="preserve"> COLUMN() - COLUMN($C:$C)</f>
        <v>34</v>
      </c>
      <c r="AL16" s="50" cm="1">
        <f t="array" ref="AL16" xml:space="preserve"> COLUMN() - COLUMN($C:$C)</f>
        <v>35</v>
      </c>
      <c r="AM16" s="50" cm="1">
        <f t="array" ref="AM16" xml:space="preserve"> COLUMN() - COLUMN($C:$C)</f>
        <v>36</v>
      </c>
      <c r="AN16" s="50" cm="1">
        <f t="array" ref="AN16" xml:space="preserve"> COLUMN() - COLUMN($C:$C)</f>
        <v>37</v>
      </c>
      <c r="AO16" s="50" cm="1">
        <f t="array" ref="AO16" xml:space="preserve"> COLUMN() - COLUMN($C:$C)</f>
        <v>38</v>
      </c>
      <c r="AP16" s="50" cm="1">
        <f t="array" ref="AP16" xml:space="preserve"> COLUMN() - COLUMN($C:$C)</f>
        <v>39</v>
      </c>
      <c r="AQ16" s="50" cm="1">
        <f t="array" ref="AQ16" xml:space="preserve"> COLUMN() - COLUMN($C:$C)</f>
        <v>40</v>
      </c>
      <c r="AR16" s="50" cm="1">
        <f t="array" ref="AR16" xml:space="preserve"> COLUMN() - COLUMN($C:$C)</f>
        <v>41</v>
      </c>
      <c r="AS16" s="50" cm="1">
        <f t="array" ref="AS16" xml:space="preserve"> COLUMN() - COLUMN($C:$C)</f>
        <v>42</v>
      </c>
      <c r="AT16" s="50" cm="1">
        <f t="array" ref="AT16" xml:space="preserve"> COLUMN() - COLUMN($C:$C)</f>
        <v>43</v>
      </c>
      <c r="AU16" s="50" cm="1">
        <f t="array" ref="AU16" xml:space="preserve"> COLUMN() - COLUMN($C:$C)</f>
        <v>44</v>
      </c>
      <c r="AV16" s="50" cm="1">
        <f t="array" ref="AV16" xml:space="preserve"> COLUMN() - COLUMN($C:$C)</f>
        <v>45</v>
      </c>
      <c r="AW16" s="50" cm="1">
        <f t="array" ref="AW16" xml:space="preserve"> COLUMN() - COLUMN($C:$C)</f>
        <v>46</v>
      </c>
      <c r="AX16" s="51" cm="1">
        <f t="array" ref="AX16" xml:space="preserve"> COLUMN() - COLUMN($C:$C)</f>
        <v>47</v>
      </c>
      <c r="AY16" s="51" cm="1">
        <f t="array" ref="AY16" xml:space="preserve"> COLUMN() - COLUMN($C:$C)</f>
        <v>48</v>
      </c>
      <c r="AZ16" s="51" cm="1">
        <f t="array" ref="AZ16" xml:space="preserve"> COLUMN() - COLUMN($C:$C)</f>
        <v>49</v>
      </c>
      <c r="BA16" s="51" cm="1">
        <f t="array" ref="BA16" xml:space="preserve"> COLUMN() - COLUMN($C:$C)</f>
        <v>50</v>
      </c>
      <c r="BB16" s="51" cm="1">
        <f t="array" ref="BB16" xml:space="preserve"> COLUMN() - COLUMN($C:$C)</f>
        <v>51</v>
      </c>
      <c r="BC16" s="51" cm="1">
        <f t="array" ref="BC16" xml:space="preserve"> COLUMN() - COLUMN($C:$C)</f>
        <v>52</v>
      </c>
      <c r="BD16" s="51" cm="1">
        <f t="array" ref="BD16" xml:space="preserve"> COLUMN() - COLUMN($C:$C)</f>
        <v>53</v>
      </c>
      <c r="BE16" s="51" cm="1">
        <f t="array" ref="BE16" xml:space="preserve"> COLUMN() - COLUMN($C:$C)</f>
        <v>54</v>
      </c>
      <c r="BF16" s="51" cm="1">
        <f t="array" ref="BF16" xml:space="preserve"> COLUMN() - COLUMN($C:$C)</f>
        <v>55</v>
      </c>
      <c r="BG16" s="51" cm="1">
        <f t="array" ref="BG16" xml:space="preserve"> COLUMN() - COLUMN($C:$C)</f>
        <v>56</v>
      </c>
      <c r="BH16" s="51" cm="1">
        <f t="array" ref="BH16" xml:space="preserve"> COLUMN() - COLUMN($C:$C)</f>
        <v>57</v>
      </c>
      <c r="BI16" s="51" cm="1">
        <f t="array" ref="BI16" xml:space="preserve"> COLUMN() - COLUMN($C:$C)</f>
        <v>58</v>
      </c>
      <c r="BJ16" s="51" cm="1">
        <f t="array" ref="BJ16" xml:space="preserve"> COLUMN() - COLUMN($C:$C)</f>
        <v>59</v>
      </c>
      <c r="BK16" s="51" cm="1">
        <f t="array" ref="BK16" xml:space="preserve"> COLUMN() - COLUMN($C:$C)</f>
        <v>60</v>
      </c>
      <c r="BN16" s="39">
        <f t="shared" si="1"/>
        <v>12</v>
      </c>
      <c r="BO16" s="354" t="str" cm="1">
        <f t="array" ref="BO16" xml:space="preserve"> INDEX(_xlfn.ANCHORARRAY($D$17), 1, $BN16)</f>
        <v>k</v>
      </c>
      <c r="BP16" s="351" t="str" cm="1">
        <f t="array" ref="BP16" xml:space="preserve"> INDEX(_xlfn.ANCHORARRAY($D$18), 1, $BN16)</f>
        <v>d</v>
      </c>
      <c r="BQ16" s="269" t="str" cm="1">
        <f t="array" ref="BQ16" xml:space="preserve"> INDEX(_xlfn.ANCHORARRAY($D$19), 1, $BN16)</f>
        <v>ㄎ</v>
      </c>
      <c r="BR16" s="355" t="str" cm="1">
        <f t="array" ref="BR16" xml:space="preserve"> INDEX(_xlfn.ANCHORARRAY($D$20), 1, $BN16)</f>
        <v>k</v>
      </c>
      <c r="BS16" s="356" t="str" cm="1">
        <f t="array" ref="BS16" xml:space="preserve"> INDEX(注音編碼對照表[聲韻調], MATCH(TRUE, EXACT($BP16, 注音編碼對照表[鍵盤按鍵]), 0))</f>
        <v>聲</v>
      </c>
      <c r="BT16" s="357">
        <f t="shared" si="2"/>
        <v>1</v>
      </c>
      <c r="BU16" s="16"/>
      <c r="BV16" s="123" t="str">
        <f t="shared" si="3"/>
        <v xml:space="preserve">    "d": { commit: "ㄎ" }  # /k/ ==&gt; k</v>
      </c>
      <c r="BW16" s="40"/>
      <c r="BX16" s="39">
        <f t="shared" si="4"/>
        <v>12</v>
      </c>
      <c r="BY16" s="332" t="str">
        <v>E</v>
      </c>
      <c r="BZ16" s="271" t="str">
        <v>&lt;</v>
      </c>
      <c r="CA16" s="269" t="str">
        <v>ㆥ</v>
      </c>
      <c r="CB16" s="10" t="str">
        <v>ne</v>
      </c>
      <c r="CC16" s="270" t="str">
        <v>韻</v>
      </c>
      <c r="CD16" s="272">
        <v>2</v>
      </c>
      <c r="CF16" s="242" t="str">
        <f t="shared" si="10"/>
        <v xml:space="preserve">    - xform/ne/E/  # 【&lt;】 ==&gt; 韻： ㆥ [ne]</v>
      </c>
      <c r="CG16" s="39">
        <f t="shared" si="5"/>
        <v>12</v>
      </c>
      <c r="CH16" s="332"/>
      <c r="CI16" s="271"/>
      <c r="CJ16" s="269"/>
      <c r="CK16" s="10"/>
      <c r="CL16" s="270"/>
      <c r="CM16" s="272"/>
      <c r="CO16" s="242" t="str">
        <f t="shared" si="6"/>
        <v/>
      </c>
      <c r="CP16" s="39">
        <f t="shared" si="7"/>
        <v>12</v>
      </c>
      <c r="CQ16" s="332" t="str">
        <v>d</v>
      </c>
      <c r="CR16" s="271" t="str">
        <v>2</v>
      </c>
      <c r="CS16" s="269" t="str">
        <v>ㄉ</v>
      </c>
      <c r="CT16" s="10" t="str">
        <v>d</v>
      </c>
      <c r="CU16" s="270" t="str">
        <v>聲</v>
      </c>
      <c r="CV16" s="272">
        <v>1</v>
      </c>
      <c r="CX16" s="377" t="str">
        <f t="shared" si="8"/>
        <v/>
      </c>
      <c r="CY16" s="39">
        <f t="shared" si="9"/>
        <v>12</v>
      </c>
      <c r="CZ16" s="332"/>
      <c r="DA16" s="271"/>
      <c r="DB16" s="269"/>
      <c r="DC16" s="10"/>
      <c r="DD16" s="270"/>
      <c r="DE16" s="272"/>
      <c r="DG16" s="242"/>
    </row>
    <row r="17" spans="1:111" s="17" customFormat="1" ht="45" customHeight="1">
      <c r="A17" s="52"/>
      <c r="B17" s="97" t="s">
        <v>6</v>
      </c>
      <c r="C17" s="56"/>
      <c r="D17" s="358" t="str" cm="1">
        <f t="array" ref="D17:BK17" xml:space="preserve"> TRANSPOSE(注音編碼對照表[字典編碼])</f>
        <v>m</v>
      </c>
      <c r="E17" s="358" t="str">
        <v>B</v>
      </c>
      <c r="F17" s="358" t="str">
        <v>b</v>
      </c>
      <c r="G17" s="358" t="str">
        <v>p</v>
      </c>
      <c r="H17" s="359" t="str">
        <v>n</v>
      </c>
      <c r="I17" s="358" t="str">
        <v>d</v>
      </c>
      <c r="J17" s="358" t="str">
        <v>t</v>
      </c>
      <c r="K17" s="358" t="str">
        <v>l</v>
      </c>
      <c r="L17" s="358" t="str">
        <v>ŋ</v>
      </c>
      <c r="M17" s="359" t="str">
        <v>v</v>
      </c>
      <c r="N17" s="358" t="str">
        <v>g</v>
      </c>
      <c r="O17" s="358" t="str">
        <v>k</v>
      </c>
      <c r="P17" s="358" t="str">
        <v>Z</v>
      </c>
      <c r="Q17" s="358" t="str">
        <v>z</v>
      </c>
      <c r="R17" s="358" t="str">
        <v>c</v>
      </c>
      <c r="S17" s="358" t="str">
        <v>s</v>
      </c>
      <c r="T17" s="358" t="str">
        <v>J</v>
      </c>
      <c r="U17" s="358" t="str">
        <v>j</v>
      </c>
      <c r="V17" s="358" t="str">
        <v>C</v>
      </c>
      <c r="W17" s="358" t="str">
        <v>S</v>
      </c>
      <c r="X17" s="358" t="str">
        <v>h</v>
      </c>
      <c r="Y17" s="358" t="str">
        <v>a</v>
      </c>
      <c r="Z17" s="358" t="str">
        <v>i</v>
      </c>
      <c r="AA17" s="358" t="str">
        <v>w</v>
      </c>
      <c r="AB17" s="358" t="str">
        <v>u</v>
      </c>
      <c r="AC17" s="358" t="str">
        <v>e</v>
      </c>
      <c r="AD17" s="358" t="str">
        <v>O</v>
      </c>
      <c r="AE17" s="358" t="str">
        <v>o</v>
      </c>
      <c r="AF17" s="358" t="str">
        <v>I</v>
      </c>
      <c r="AG17" s="358" t="str">
        <v>U</v>
      </c>
      <c r="AH17" s="359" t="str">
        <v>R</v>
      </c>
      <c r="AI17" s="359" t="str">
        <v>D</v>
      </c>
      <c r="AJ17" s="359" t="str">
        <v>X</v>
      </c>
      <c r="AK17" s="359" t="str">
        <v>E</v>
      </c>
      <c r="AL17" s="359" t="str">
        <v>Q</v>
      </c>
      <c r="AM17" s="358" t="str">
        <v>x</v>
      </c>
      <c r="AN17" s="358" t="str">
        <v>y</v>
      </c>
      <c r="AO17" s="358" t="str">
        <v>M</v>
      </c>
      <c r="AP17" s="358" t="str">
        <v>N</v>
      </c>
      <c r="AQ17" s="358" t="str">
        <v>G</v>
      </c>
      <c r="AR17" s="358" t="str">
        <v>Y</v>
      </c>
      <c r="AS17" s="358" t="str">
        <v>@</v>
      </c>
      <c r="AT17" s="358" t="str">
        <v>A</v>
      </c>
      <c r="AU17" s="358" t="str">
        <v>W</v>
      </c>
      <c r="AV17" s="358" t="str">
        <v>H</v>
      </c>
      <c r="AW17" s="359" t="str">
        <v>P</v>
      </c>
      <c r="AX17" s="359" t="str">
        <v>T</v>
      </c>
      <c r="AY17" s="359" t="str">
        <v>K</v>
      </c>
      <c r="AZ17" s="359" t="str">
        <v>V</v>
      </c>
      <c r="BA17" s="358">
        <v>1</v>
      </c>
      <c r="BB17" s="358">
        <v>6</v>
      </c>
      <c r="BC17" s="358">
        <v>5</v>
      </c>
      <c r="BD17" s="358">
        <v>3</v>
      </c>
      <c r="BE17" s="358">
        <v>2</v>
      </c>
      <c r="BF17" s="358">
        <v>7</v>
      </c>
      <c r="BG17" s="358">
        <v>8</v>
      </c>
      <c r="BH17" s="358">
        <v>0</v>
      </c>
      <c r="BI17" s="358" t="str">
        <v>&amp;</v>
      </c>
      <c r="BJ17" s="358" t="str">
        <v>L</v>
      </c>
      <c r="BK17" s="358" t="str">
        <v>*</v>
      </c>
      <c r="BN17" s="39">
        <f t="shared" si="1"/>
        <v>13</v>
      </c>
      <c r="BO17" s="354" t="str" cm="1">
        <f t="array" ref="BO17" xml:space="preserve"> INDEX(_xlfn.ANCHORARRAY($D$17), 1, $BN17)</f>
        <v>Z</v>
      </c>
      <c r="BP17" s="351" t="str" cm="1">
        <f t="array" ref="BP17" xml:space="preserve"> INDEX(_xlfn.ANCHORARRAY($D$18), 1, $BN17)</f>
        <v>Y</v>
      </c>
      <c r="BQ17" s="269" t="str" cm="1">
        <f t="array" ref="BQ17" xml:space="preserve"> INDEX(_xlfn.ANCHORARRAY($D$19), 1, $BN17)</f>
        <v>ㆡ</v>
      </c>
      <c r="BR17" s="355" t="str" cm="1">
        <f t="array" ref="BR17" xml:space="preserve"> INDEX(_xlfn.ANCHORARRAY($D$20), 1, $BN17)</f>
        <v>zz</v>
      </c>
      <c r="BS17" s="356" t="str" cm="1">
        <f t="array" ref="BS17" xml:space="preserve"> INDEX(注音編碼對照表[聲韻調], MATCH(TRUE, EXACT($BP17, 注音編碼對照表[鍵盤按鍵]), 0))</f>
        <v>聲</v>
      </c>
      <c r="BT17" s="357">
        <f t="shared" si="2"/>
        <v>2</v>
      </c>
      <c r="BV17" s="123" t="str">
        <f t="shared" si="3"/>
        <v xml:space="preserve">    "Y": { commit: "ㆡ" }  # /zz/ ==&gt; Z</v>
      </c>
      <c r="BW17" s="40"/>
      <c r="BX17" s="39">
        <f t="shared" si="4"/>
        <v>13</v>
      </c>
      <c r="BY17" s="332" t="str">
        <v>Q</v>
      </c>
      <c r="BZ17" s="271" t="str">
        <v>I</v>
      </c>
      <c r="CA17" s="269" t="str">
        <v>ㆧ</v>
      </c>
      <c r="CB17" s="10" t="str">
        <v>no</v>
      </c>
      <c r="CC17" s="270" t="str">
        <v>韻</v>
      </c>
      <c r="CD17" s="272">
        <v>2</v>
      </c>
      <c r="CF17" s="242" t="str">
        <f t="shared" si="10"/>
        <v xml:space="preserve">    - xform/no/Q/  # 【I】 ==&gt; 韻： ㆧ [no]</v>
      </c>
      <c r="CG17" s="39">
        <f t="shared" si="5"/>
        <v>13</v>
      </c>
      <c r="CH17" s="332"/>
      <c r="CI17" s="271"/>
      <c r="CJ17" s="269"/>
      <c r="CK17" s="10"/>
      <c r="CL17" s="270"/>
      <c r="CM17" s="272"/>
      <c r="CO17" s="242" t="str">
        <f t="shared" si="6"/>
        <v/>
      </c>
      <c r="CP17" s="39">
        <f t="shared" si="7"/>
        <v>13</v>
      </c>
      <c r="CQ17" s="332" t="str">
        <v>t</v>
      </c>
      <c r="CR17" s="271" t="str">
        <v>w</v>
      </c>
      <c r="CS17" s="269" t="str">
        <v>ㄊ</v>
      </c>
      <c r="CT17" s="10" t="str">
        <v>t</v>
      </c>
      <c r="CU17" s="270" t="str">
        <v>聲</v>
      </c>
      <c r="CV17" s="272">
        <v>1</v>
      </c>
      <c r="CX17" s="377" t="str">
        <f t="shared" si="8"/>
        <v/>
      </c>
      <c r="CY17" s="39">
        <f t="shared" si="9"/>
        <v>13</v>
      </c>
      <c r="CZ17" s="332"/>
      <c r="DA17" s="271"/>
      <c r="DB17" s="269"/>
      <c r="DC17" s="10"/>
      <c r="DD17" s="270"/>
      <c r="DE17" s="272"/>
      <c r="DG17" s="242"/>
    </row>
    <row r="18" spans="1:111" s="17" customFormat="1" ht="45" customHeight="1">
      <c r="A18" s="52"/>
      <c r="B18" s="53" t="s">
        <v>565</v>
      </c>
      <c r="C18" s="54"/>
      <c r="D18" s="360" t="str" cm="1">
        <f t="array" ref="D18:BK18" xml:space="preserve"> TRANSPOSE(注音編碼對照表[鍵盤按鍵])</f>
        <v>a</v>
      </c>
      <c r="E18" s="360" t="str">
        <v>!</v>
      </c>
      <c r="F18" s="360" t="str">
        <v>1</v>
      </c>
      <c r="G18" s="360" t="str">
        <v>q</v>
      </c>
      <c r="H18" s="360" t="str">
        <v>s</v>
      </c>
      <c r="I18" s="360" t="str">
        <v>2</v>
      </c>
      <c r="J18" s="360" t="str">
        <v>w</v>
      </c>
      <c r="K18" s="360" t="str">
        <v>x</v>
      </c>
      <c r="L18" s="360" t="str">
        <v>N</v>
      </c>
      <c r="M18" s="360" t="str">
        <v>E</v>
      </c>
      <c r="N18" s="360" t="str">
        <v>e</v>
      </c>
      <c r="O18" s="360" t="str">
        <v>d</v>
      </c>
      <c r="P18" s="360" t="str">
        <v>Y</v>
      </c>
      <c r="Q18" s="360" t="str">
        <v>y</v>
      </c>
      <c r="R18" s="360" t="str">
        <v>h</v>
      </c>
      <c r="S18" s="360" t="str">
        <v>n</v>
      </c>
      <c r="T18" s="360" t="str">
        <v>R</v>
      </c>
      <c r="U18" s="360" t="str">
        <v>r</v>
      </c>
      <c r="V18" s="360" t="str">
        <v>f</v>
      </c>
      <c r="W18" s="360" t="str">
        <v>v</v>
      </c>
      <c r="X18" s="360" t="str">
        <v>c</v>
      </c>
      <c r="Y18" s="360" t="str">
        <v>8</v>
      </c>
      <c r="Z18" s="360" t="str">
        <v>u</v>
      </c>
      <c r="AA18" s="360" t="str">
        <v>K</v>
      </c>
      <c r="AB18" s="360" t="str">
        <v>j</v>
      </c>
      <c r="AC18" s="360" t="str">
        <v>,</v>
      </c>
      <c r="AD18" s="360" t="str">
        <v>i</v>
      </c>
      <c r="AE18" s="360" t="str">
        <v>k</v>
      </c>
      <c r="AF18" s="360" t="str">
        <v>9</v>
      </c>
      <c r="AG18" s="360" t="str">
        <v>l</v>
      </c>
      <c r="AH18" s="360" t="str">
        <v>*</v>
      </c>
      <c r="AI18" s="360" t="str">
        <v>U</v>
      </c>
      <c r="AJ18" s="360" t="str">
        <v>J</v>
      </c>
      <c r="AK18" s="360" t="str">
        <v>&lt;</v>
      </c>
      <c r="AL18" s="360" t="str">
        <v>I</v>
      </c>
      <c r="AM18" s="360" t="str">
        <v>(</v>
      </c>
      <c r="AN18" s="360" t="str">
        <v>L</v>
      </c>
      <c r="AO18" s="360" t="str">
        <v>m</v>
      </c>
      <c r="AP18" s="360" t="str">
        <v>p</v>
      </c>
      <c r="AQ18" s="360" t="str">
        <v>/</v>
      </c>
      <c r="AR18" s="360" t="str">
        <v>M</v>
      </c>
      <c r="AS18" s="360" t="str">
        <v>0</v>
      </c>
      <c r="AT18" s="360" t="str">
        <v>;</v>
      </c>
      <c r="AU18" s="360" t="str">
        <v>O</v>
      </c>
      <c r="AV18" s="360" t="str">
        <v>o</v>
      </c>
      <c r="AW18" s="360" t="str">
        <v>b</v>
      </c>
      <c r="AX18" s="360" t="str">
        <v>t</v>
      </c>
      <c r="AY18" s="360" t="str">
        <v>g</v>
      </c>
      <c r="AZ18" s="360" t="str">
        <v>z</v>
      </c>
      <c r="BA18" s="360" t="str">
        <v>:</v>
      </c>
      <c r="BB18" s="360">
        <v>5</v>
      </c>
      <c r="BC18" s="360">
        <v>3</v>
      </c>
      <c r="BD18" s="360">
        <v>4</v>
      </c>
      <c r="BE18" s="360">
        <v>6</v>
      </c>
      <c r="BF18" s="360" t="str">
        <v>[</v>
      </c>
      <c r="BG18" s="360" t="str">
        <v>]</v>
      </c>
      <c r="BH18" s="360">
        <v>7</v>
      </c>
      <c r="BI18" s="360" t="str">
        <v>.</v>
      </c>
      <c r="BJ18" s="360" t="str">
        <v>?</v>
      </c>
      <c r="BK18" s="360" t="str">
        <v>-</v>
      </c>
      <c r="BN18" s="39">
        <f t="shared" si="1"/>
        <v>14</v>
      </c>
      <c r="BO18" s="354" t="str" cm="1">
        <f t="array" ref="BO18" xml:space="preserve"> INDEX(_xlfn.ANCHORARRAY($D$17), 1, $BN18)</f>
        <v>z</v>
      </c>
      <c r="BP18" s="351" t="str" cm="1">
        <f t="array" ref="BP18" xml:space="preserve"> INDEX(_xlfn.ANCHORARRAY($D$18), 1, $BN18)</f>
        <v>y</v>
      </c>
      <c r="BQ18" s="269" t="str" cm="1">
        <f t="array" ref="BQ18" xml:space="preserve"> INDEX(_xlfn.ANCHORARRAY($D$19), 1, $BN18)</f>
        <v>ㄗ</v>
      </c>
      <c r="BR18" s="355" t="str" cm="1">
        <f t="array" ref="BR18" xml:space="preserve"> INDEX(_xlfn.ANCHORARRAY($D$20), 1, $BN18)</f>
        <v>z</v>
      </c>
      <c r="BS18" s="356" t="str" cm="1">
        <f t="array" ref="BS18" xml:space="preserve"> INDEX(注音編碼對照表[聲韻調], MATCH(TRUE, EXACT($BP18, 注音編碼對照表[鍵盤按鍵]), 0))</f>
        <v>聲</v>
      </c>
      <c r="BT18" s="357">
        <f t="shared" si="2"/>
        <v>1</v>
      </c>
      <c r="BV18" s="123" t="str">
        <f t="shared" si="3"/>
        <v xml:space="preserve">    "y": { commit: "ㄗ" }  # /z/ ==&gt; z</v>
      </c>
      <c r="BW18" s="40"/>
      <c r="BX18" s="39">
        <f t="shared" si="4"/>
        <v>14</v>
      </c>
      <c r="BY18" s="332" t="str">
        <v>G</v>
      </c>
      <c r="BZ18" s="271" t="str">
        <v>/</v>
      </c>
      <c r="CA18" s="269" t="str">
        <v>ㆭ</v>
      </c>
      <c r="CB18" s="10" t="str">
        <v>ng</v>
      </c>
      <c r="CC18" s="270" t="str">
        <v>韻</v>
      </c>
      <c r="CD18" s="272">
        <v>2</v>
      </c>
      <c r="CF18" s="242" t="str">
        <f t="shared" si="10"/>
        <v xml:space="preserve">    - xform/ng/G/  # 【/】 ==&gt; 韻： ㆭ [ng]</v>
      </c>
      <c r="CG18" s="39">
        <f t="shared" si="5"/>
        <v>14</v>
      </c>
      <c r="CH18" s="332"/>
      <c r="CI18" s="271"/>
      <c r="CJ18" s="269"/>
      <c r="CK18" s="10"/>
      <c r="CL18" s="270"/>
      <c r="CM18" s="272"/>
      <c r="CO18" s="242" t="str">
        <f t="shared" si="6"/>
        <v/>
      </c>
      <c r="CP18" s="39">
        <f t="shared" si="7"/>
        <v>14</v>
      </c>
      <c r="CQ18" s="332" t="str">
        <v>l</v>
      </c>
      <c r="CR18" s="271" t="str">
        <v>x</v>
      </c>
      <c r="CS18" s="269" t="str">
        <v>ㄌ</v>
      </c>
      <c r="CT18" s="10" t="str">
        <v>l</v>
      </c>
      <c r="CU18" s="270" t="str">
        <v>聲</v>
      </c>
      <c r="CV18" s="272">
        <v>1</v>
      </c>
      <c r="CX18" s="377" t="str">
        <f t="shared" si="8"/>
        <v/>
      </c>
      <c r="CY18" s="39">
        <f t="shared" si="9"/>
        <v>14</v>
      </c>
      <c r="CZ18" s="332"/>
      <c r="DA18" s="271"/>
      <c r="DB18" s="269"/>
      <c r="DC18" s="10"/>
      <c r="DD18" s="270"/>
      <c r="DE18" s="272"/>
      <c r="DG18" s="242"/>
    </row>
    <row r="19" spans="1:111" s="17" customFormat="1" ht="45" customHeight="1">
      <c r="A19" s="52"/>
      <c r="B19" s="83" t="s">
        <v>190</v>
      </c>
      <c r="C19" s="84"/>
      <c r="D19" s="85" t="str" cm="1">
        <f t="array" ref="D19:BK19" xml:space="preserve"> TRANSPOSE(注音編碼對照表[方音符號])</f>
        <v>ㄇ</v>
      </c>
      <c r="E19" s="85" t="str">
        <v>ㆠ</v>
      </c>
      <c r="F19" s="85" t="str">
        <v>ㄅ</v>
      </c>
      <c r="G19" s="85" t="str">
        <v>ㄆ</v>
      </c>
      <c r="H19" s="85" t="str">
        <v>ㄋ</v>
      </c>
      <c r="I19" s="85" t="str">
        <v>ㄉ</v>
      </c>
      <c r="J19" s="85" t="str">
        <v>ㄊ</v>
      </c>
      <c r="K19" s="85" t="str">
        <v>ㄌ</v>
      </c>
      <c r="L19" s="85" t="str">
        <v>ㄫ</v>
      </c>
      <c r="M19" s="85" t="str">
        <v>ㆣ</v>
      </c>
      <c r="N19" s="85" t="str">
        <v>ㄍ</v>
      </c>
      <c r="O19" s="85" t="str">
        <v>ㄎ</v>
      </c>
      <c r="P19" s="85" t="str">
        <v>ㆡ</v>
      </c>
      <c r="Q19" s="85" t="str">
        <v>ㄗ</v>
      </c>
      <c r="R19" s="85" t="str">
        <v>ㄘ</v>
      </c>
      <c r="S19" s="85" t="str">
        <v>ㄙ</v>
      </c>
      <c r="T19" s="85" t="str">
        <v>ㆢ</v>
      </c>
      <c r="U19" s="85" t="str">
        <v>ㄐ</v>
      </c>
      <c r="V19" s="85" t="str">
        <v>ㄑ</v>
      </c>
      <c r="W19" s="85" t="str">
        <v>ㄒ</v>
      </c>
      <c r="X19" s="85" t="str">
        <v>ㄏ</v>
      </c>
      <c r="Y19" s="85" t="str">
        <v>ㄚ</v>
      </c>
      <c r="Z19" s="85" t="str">
        <v>ㄧ</v>
      </c>
      <c r="AA19" s="85" t="str">
        <v>ㆨ</v>
      </c>
      <c r="AB19" s="85" t="str">
        <v>ㄨ</v>
      </c>
      <c r="AC19" s="85" t="str">
        <v>ㆤ</v>
      </c>
      <c r="AD19" s="85" t="str">
        <v>ㆦ</v>
      </c>
      <c r="AE19" s="85" t="str">
        <v>ㄜ</v>
      </c>
      <c r="AF19" s="85" t="str">
        <v>ㄞ</v>
      </c>
      <c r="AG19" s="85" t="str">
        <v>ㄠ</v>
      </c>
      <c r="AH19" s="85" t="str">
        <v>ㆩ</v>
      </c>
      <c r="AI19" s="85" t="str">
        <v>ㆪ</v>
      </c>
      <c r="AJ19" s="85" t="str">
        <v>ㆫ</v>
      </c>
      <c r="AK19" s="85" t="str">
        <v>ㆥ</v>
      </c>
      <c r="AL19" s="85" t="str">
        <v>ㆧ</v>
      </c>
      <c r="AM19" s="85" t="str">
        <v>ㆮ</v>
      </c>
      <c r="AN19" s="85" t="str">
        <v>ㆯ</v>
      </c>
      <c r="AO19" s="85" t="str">
        <v>ㆬ</v>
      </c>
      <c r="AP19" s="85" t="str">
        <v>ㄣ</v>
      </c>
      <c r="AQ19" s="85" t="str">
        <v>ㆭ</v>
      </c>
      <c r="AR19" s="85" t="str">
        <v>ㆰ</v>
      </c>
      <c r="AS19" s="85" t="str">
        <v>ㄢ</v>
      </c>
      <c r="AT19" s="85" t="str">
        <v>ㄤ</v>
      </c>
      <c r="AU19" s="85" t="str">
        <v>ㆱ</v>
      </c>
      <c r="AV19" s="85" t="str">
        <v>ㆲ</v>
      </c>
      <c r="AW19" s="85" t="str">
        <v>ㆴ</v>
      </c>
      <c r="AX19" s="85" t="str">
        <v>ㆵ</v>
      </c>
      <c r="AY19" s="85" t="str">
        <v>ㆻ</v>
      </c>
      <c r="AZ19" s="85" t="str">
        <v>ㆷ</v>
      </c>
      <c r="BA19" s="85" t="str">
        <v>ˉ</v>
      </c>
      <c r="BB19" s="85" t="str">
        <v>^</v>
      </c>
      <c r="BC19" s="85" t="str">
        <v>ˋ</v>
      </c>
      <c r="BD19" s="85" t="str">
        <v>ˇ</v>
      </c>
      <c r="BE19" s="85" t="str">
        <v>ˊ</v>
      </c>
      <c r="BF19" s="85" t="str">
        <v>ˉ</v>
      </c>
      <c r="BG19" s="85" t="str">
        <v>ˊ</v>
      </c>
      <c r="BH19" s="85" t="str">
        <v>˙</v>
      </c>
      <c r="BI19" s="85" t="str">
        <v>入</v>
      </c>
      <c r="BJ19" s="85" t="str">
        <v>ㄥ</v>
      </c>
      <c r="BK19" s="85" t="str">
        <v>ñ</v>
      </c>
      <c r="BL19" s="14"/>
      <c r="BN19" s="39">
        <f t="shared" si="1"/>
        <v>15</v>
      </c>
      <c r="BO19" s="354" t="str" cm="1">
        <f t="array" ref="BO19" xml:space="preserve"> INDEX(_xlfn.ANCHORARRAY($D$17), 1, $BN19)</f>
        <v>c</v>
      </c>
      <c r="BP19" s="351" t="str" cm="1">
        <f t="array" ref="BP19" xml:space="preserve"> INDEX(_xlfn.ANCHORARRAY($D$18), 1, $BN19)</f>
        <v>h</v>
      </c>
      <c r="BQ19" s="269" t="str" cm="1">
        <f t="array" ref="BQ19" xml:space="preserve"> INDEX(_xlfn.ANCHORARRAY($D$19), 1, $BN19)</f>
        <v>ㄘ</v>
      </c>
      <c r="BR19" s="355" t="str" cm="1">
        <f t="array" ref="BR19" xml:space="preserve"> INDEX(_xlfn.ANCHORARRAY($D$20), 1, $BN19)</f>
        <v>c</v>
      </c>
      <c r="BS19" s="356" t="str" cm="1">
        <f t="array" ref="BS19" xml:space="preserve"> INDEX(注音編碼對照表[聲韻調], MATCH(TRUE, EXACT($BP19, 注音編碼對照表[鍵盤按鍵]), 0))</f>
        <v>聲</v>
      </c>
      <c r="BT19" s="357">
        <f t="shared" si="2"/>
        <v>1</v>
      </c>
      <c r="BV19" s="123" t="str">
        <f t="shared" si="3"/>
        <v xml:space="preserve">    "h": { commit: "ㄘ" }  # /c/ ==&gt; c</v>
      </c>
      <c r="BW19" s="40"/>
      <c r="BX19" s="39">
        <f t="shared" si="4"/>
        <v>15</v>
      </c>
      <c r="BY19" s="332" t="str">
        <v>Y</v>
      </c>
      <c r="BZ19" s="271" t="str">
        <v>M</v>
      </c>
      <c r="CA19" s="269" t="str">
        <v>ㆰ</v>
      </c>
      <c r="CB19" s="10" t="str">
        <v>am</v>
      </c>
      <c r="CC19" s="270" t="str">
        <v>韻</v>
      </c>
      <c r="CD19" s="272">
        <v>2</v>
      </c>
      <c r="CF19" s="242" t="str">
        <f t="shared" si="10"/>
        <v xml:space="preserve">    - xform/am/Y/  # 【M】 ==&gt; 韻： ㆰ [am]</v>
      </c>
      <c r="CG19" s="39">
        <f t="shared" si="5"/>
        <v>15</v>
      </c>
      <c r="CH19" s="332"/>
      <c r="CI19" s="271"/>
      <c r="CJ19" s="269"/>
      <c r="CK19" s="10"/>
      <c r="CL19" s="270"/>
      <c r="CM19" s="272"/>
      <c r="CO19" s="242" t="str">
        <f t="shared" si="6"/>
        <v/>
      </c>
      <c r="CP19" s="39">
        <f t="shared" si="7"/>
        <v>15</v>
      </c>
      <c r="CQ19" s="332" t="str">
        <v>g</v>
      </c>
      <c r="CR19" s="271" t="str">
        <v>e</v>
      </c>
      <c r="CS19" s="269" t="str">
        <v>ㄍ</v>
      </c>
      <c r="CT19" s="10" t="str">
        <v>g</v>
      </c>
      <c r="CU19" s="270" t="str">
        <v>聲</v>
      </c>
      <c r="CV19" s="272">
        <v>1</v>
      </c>
      <c r="CX19" s="377" t="str">
        <f t="shared" si="8"/>
        <v/>
      </c>
      <c r="CY19" s="39">
        <f t="shared" si="9"/>
        <v>15</v>
      </c>
      <c r="CZ19" s="332"/>
      <c r="DA19" s="271"/>
      <c r="DB19" s="269"/>
      <c r="DC19" s="10"/>
      <c r="DD19" s="270"/>
      <c r="DE19" s="272"/>
      <c r="DG19" s="242"/>
    </row>
    <row r="20" spans="1:111" ht="45" customHeight="1">
      <c r="A20" s="52"/>
      <c r="B20" s="261" t="s">
        <v>626</v>
      </c>
      <c r="C20" s="59"/>
      <c r="D20" s="60" t="str" cm="1">
        <f t="array" ref="D20:BK20" xml:space="preserve"> TRANSPOSE(注音編碼對照表[閩拼方案])</f>
        <v>bbn</v>
      </c>
      <c r="E20" s="60" t="str">
        <v>bb</v>
      </c>
      <c r="F20" s="60" t="str">
        <v>b</v>
      </c>
      <c r="G20" s="60" t="str">
        <v>p</v>
      </c>
      <c r="H20" s="60" t="str">
        <v>ln</v>
      </c>
      <c r="I20" s="60" t="str">
        <v>d</v>
      </c>
      <c r="J20" s="60" t="str">
        <v>t</v>
      </c>
      <c r="K20" s="60" t="str">
        <v>l</v>
      </c>
      <c r="L20" s="60" t="str">
        <v>ggn</v>
      </c>
      <c r="M20" s="60" t="str">
        <v>gg</v>
      </c>
      <c r="N20" s="60" t="str">
        <v>g</v>
      </c>
      <c r="O20" s="60" t="str">
        <v>k</v>
      </c>
      <c r="P20" s="60" t="str">
        <v>zz</v>
      </c>
      <c r="Q20" s="60" t="str">
        <v>z</v>
      </c>
      <c r="R20" s="60" t="str">
        <v>c</v>
      </c>
      <c r="S20" s="60" t="str">
        <v>s</v>
      </c>
      <c r="T20" s="60" t="str">
        <v>jj</v>
      </c>
      <c r="U20" s="60" t="str">
        <v>j</v>
      </c>
      <c r="V20" s="60" t="str">
        <v>ch</v>
      </c>
      <c r="W20" s="60" t="str">
        <v>sh</v>
      </c>
      <c r="X20" s="60" t="str">
        <v>h</v>
      </c>
      <c r="Y20" s="60" t="str">
        <v>a</v>
      </c>
      <c r="Z20" s="60" t="str">
        <v>i</v>
      </c>
      <c r="AA20" s="60" t="str">
        <v>eu</v>
      </c>
      <c r="AB20" s="60" t="str">
        <v>u</v>
      </c>
      <c r="AC20" s="60" t="str">
        <v>e</v>
      </c>
      <c r="AD20" s="60" t="str">
        <v>oo</v>
      </c>
      <c r="AE20" s="60" t="str">
        <v>o</v>
      </c>
      <c r="AF20" s="60" t="str">
        <v>ai</v>
      </c>
      <c r="AG20" s="60" t="str">
        <v>au</v>
      </c>
      <c r="AH20" s="60" t="str">
        <v>na</v>
      </c>
      <c r="AI20" s="60" t="str">
        <v>ni</v>
      </c>
      <c r="AJ20" s="60" t="str">
        <v>nu</v>
      </c>
      <c r="AK20" s="60" t="str">
        <v>ne</v>
      </c>
      <c r="AL20" s="60" t="str">
        <v>no</v>
      </c>
      <c r="AM20" s="60" t="str">
        <v>nai</v>
      </c>
      <c r="AN20" s="60" t="str">
        <v>nau</v>
      </c>
      <c r="AO20" s="60" t="str">
        <v>m</v>
      </c>
      <c r="AP20" s="60" t="str">
        <v>n</v>
      </c>
      <c r="AQ20" s="60" t="str">
        <v>ng</v>
      </c>
      <c r="AR20" s="60" t="str">
        <v>am</v>
      </c>
      <c r="AS20" s="60" t="str">
        <v>an</v>
      </c>
      <c r="AT20" s="60" t="str">
        <v>ang</v>
      </c>
      <c r="AU20" s="60" t="str">
        <v>om</v>
      </c>
      <c r="AV20" s="60" t="str">
        <v>ong</v>
      </c>
      <c r="AW20" s="60" t="str">
        <v>p</v>
      </c>
      <c r="AX20" s="60" t="str">
        <v>t</v>
      </c>
      <c r="AY20" s="60" t="str">
        <v>k</v>
      </c>
      <c r="AZ20" s="60" t="str">
        <v>h</v>
      </c>
      <c r="BA20" s="60">
        <v>1</v>
      </c>
      <c r="BB20" s="60">
        <v>6</v>
      </c>
      <c r="BC20" s="60">
        <v>5</v>
      </c>
      <c r="BD20" s="60">
        <v>3</v>
      </c>
      <c r="BE20" s="60">
        <v>2</v>
      </c>
      <c r="BF20" s="60">
        <v>7</v>
      </c>
      <c r="BG20" s="60">
        <v>8</v>
      </c>
      <c r="BH20" s="60">
        <v>0</v>
      </c>
      <c r="BI20" s="60" t="str">
        <v>[78]</v>
      </c>
      <c r="BJ20" s="60" t="str">
        <v>nn</v>
      </c>
      <c r="BK20" s="60" t="str">
        <v>*nn</v>
      </c>
      <c r="BL20" s="18"/>
      <c r="BN20" s="39">
        <f t="shared" si="1"/>
        <v>16</v>
      </c>
      <c r="BO20" s="354" t="str" cm="1">
        <f t="array" ref="BO20" xml:space="preserve"> INDEX(_xlfn.ANCHORARRAY($D$17), 1, $BN20)</f>
        <v>s</v>
      </c>
      <c r="BP20" s="351" t="str" cm="1">
        <f t="array" ref="BP20" xml:space="preserve"> INDEX(_xlfn.ANCHORARRAY($D$18), 1, $BN20)</f>
        <v>n</v>
      </c>
      <c r="BQ20" s="269" t="str" cm="1">
        <f t="array" ref="BQ20" xml:space="preserve"> INDEX(_xlfn.ANCHORARRAY($D$19), 1, $BN20)</f>
        <v>ㄙ</v>
      </c>
      <c r="BR20" s="355" t="str" cm="1">
        <f t="array" ref="BR20" xml:space="preserve"> INDEX(_xlfn.ANCHORARRAY($D$20), 1, $BN20)</f>
        <v>s</v>
      </c>
      <c r="BS20" s="356" t="str" cm="1">
        <f t="array" ref="BS20" xml:space="preserve"> INDEX(注音編碼對照表[聲韻調], MATCH(TRUE, EXACT($BP20, 注音編碼對照表[鍵盤按鍵]), 0))</f>
        <v>聲</v>
      </c>
      <c r="BT20" s="357">
        <f t="shared" si="2"/>
        <v>1</v>
      </c>
      <c r="BU20" s="17"/>
      <c r="BV20" s="123" t="str">
        <f t="shared" si="3"/>
        <v xml:space="preserve">    "n": { commit: "ㄙ" }  # /s/ ==&gt; s</v>
      </c>
      <c r="BW20" s="40"/>
      <c r="BX20" s="39">
        <f t="shared" si="4"/>
        <v>16</v>
      </c>
      <c r="BY20" s="332" t="str">
        <v>@</v>
      </c>
      <c r="BZ20" s="271" t="str">
        <v>0</v>
      </c>
      <c r="CA20" s="269" t="str">
        <v>ㄢ</v>
      </c>
      <c r="CB20" s="10" t="str">
        <v>an</v>
      </c>
      <c r="CC20" s="270" t="str">
        <v>韻</v>
      </c>
      <c r="CD20" s="272">
        <v>2</v>
      </c>
      <c r="CF20" s="242" t="str">
        <f t="shared" si="10"/>
        <v xml:space="preserve">    - xform/an/@/  # 【0】 ==&gt; 韻： ㄢ [an]</v>
      </c>
      <c r="CG20" s="39">
        <f t="shared" si="5"/>
        <v>16</v>
      </c>
      <c r="CH20" s="332"/>
      <c r="CI20" s="271"/>
      <c r="CJ20" s="269"/>
      <c r="CK20" s="10"/>
      <c r="CL20" s="270"/>
      <c r="CM20" s="272"/>
      <c r="CO20" s="242" t="str">
        <f t="shared" si="6"/>
        <v/>
      </c>
      <c r="CP20" s="39">
        <f t="shared" si="7"/>
        <v>16</v>
      </c>
      <c r="CQ20" s="332" t="str">
        <v>k</v>
      </c>
      <c r="CR20" s="271" t="str">
        <v>d</v>
      </c>
      <c r="CS20" s="269" t="str">
        <v>ㄎ</v>
      </c>
      <c r="CT20" s="10" t="str">
        <v>k</v>
      </c>
      <c r="CU20" s="270" t="str">
        <v>聲</v>
      </c>
      <c r="CV20" s="272">
        <v>1</v>
      </c>
      <c r="CX20" s="377" t="str">
        <f t="shared" si="8"/>
        <v/>
      </c>
      <c r="CY20" s="39">
        <f t="shared" si="9"/>
        <v>16</v>
      </c>
      <c r="CZ20" s="332"/>
      <c r="DA20" s="271"/>
      <c r="DB20" s="269"/>
      <c r="DC20" s="10"/>
      <c r="DD20" s="270"/>
      <c r="DE20" s="272"/>
    </row>
    <row r="21" spans="1:111" s="18" customFormat="1" ht="45" customHeight="1">
      <c r="BM21" s="14"/>
      <c r="BN21" s="39">
        <f t="shared" si="1"/>
        <v>17</v>
      </c>
      <c r="BO21" s="354" t="str" cm="1">
        <f t="array" ref="BO21" xml:space="preserve"> INDEX(_xlfn.ANCHORARRAY($D$17), 1, $BN21)</f>
        <v>J</v>
      </c>
      <c r="BP21" s="351" t="str" cm="1">
        <f t="array" ref="BP21" xml:space="preserve"> INDEX(_xlfn.ANCHORARRAY($D$18), 1, $BN21)</f>
        <v>R</v>
      </c>
      <c r="BQ21" s="269" t="str" cm="1">
        <f t="array" ref="BQ21" xml:space="preserve"> INDEX(_xlfn.ANCHORARRAY($D$19), 1, $BN21)</f>
        <v>ㆢ</v>
      </c>
      <c r="BR21" s="355" t="str" cm="1">
        <f t="array" ref="BR21" xml:space="preserve"> INDEX(_xlfn.ANCHORARRAY($D$20), 1, $BN21)</f>
        <v>jj</v>
      </c>
      <c r="BS21" s="356" t="str" cm="1">
        <f t="array" ref="BS21" xml:space="preserve"> INDEX(注音編碼對照表[聲韻調], MATCH(TRUE, EXACT($BP21, 注音編碼對照表[鍵盤按鍵]), 0))</f>
        <v>聲</v>
      </c>
      <c r="BT21" s="357">
        <f t="shared" si="2"/>
        <v>2</v>
      </c>
      <c r="BU21" s="14"/>
      <c r="BV21" s="123" t="str">
        <f t="shared" si="3"/>
        <v xml:space="preserve">    "R": { commit: "ㆢ" }  # /jj/ ==&gt; J</v>
      </c>
      <c r="BW21" s="40"/>
      <c r="BX21" s="39">
        <f t="shared" si="4"/>
        <v>17</v>
      </c>
      <c r="BY21" s="332" t="str">
        <v>W</v>
      </c>
      <c r="BZ21" s="271" t="str">
        <v>O</v>
      </c>
      <c r="CA21" s="269" t="str">
        <v>ㆱ</v>
      </c>
      <c r="CB21" s="10" t="str">
        <v>om</v>
      </c>
      <c r="CC21" s="270" t="str">
        <v>韻</v>
      </c>
      <c r="CD21" s="272">
        <v>2</v>
      </c>
      <c r="CF21" s="242" t="str">
        <f t="shared" si="10"/>
        <v xml:space="preserve">    - xform/om/W/  # 【O】 ==&gt; 韻： ㆱ [om]</v>
      </c>
      <c r="CG21" s="39">
        <f t="shared" si="5"/>
        <v>17</v>
      </c>
      <c r="CH21" s="332"/>
      <c r="CI21" s="271"/>
      <c r="CJ21" s="269"/>
      <c r="CK21" s="10"/>
      <c r="CL21" s="270"/>
      <c r="CM21" s="272"/>
      <c r="CO21" s="242" t="str">
        <f t="shared" si="6"/>
        <v/>
      </c>
      <c r="CP21" s="39">
        <f t="shared" si="7"/>
        <v>17</v>
      </c>
      <c r="CQ21" s="332" t="str">
        <v>z</v>
      </c>
      <c r="CR21" s="271" t="str">
        <v>y</v>
      </c>
      <c r="CS21" s="269" t="str">
        <v>ㄗ</v>
      </c>
      <c r="CT21" s="10" t="str">
        <v>z</v>
      </c>
      <c r="CU21" s="270" t="str">
        <v>聲</v>
      </c>
      <c r="CV21" s="272">
        <v>1</v>
      </c>
      <c r="CX21" s="377" t="str">
        <f t="shared" si="8"/>
        <v/>
      </c>
      <c r="CY21" s="39">
        <f t="shared" si="9"/>
        <v>17</v>
      </c>
      <c r="CZ21" s="332"/>
      <c r="DA21" s="271"/>
      <c r="DB21" s="269"/>
      <c r="DC21" s="10"/>
      <c r="DD21" s="270"/>
      <c r="DE21" s="272"/>
      <c r="DG21" s="242"/>
    </row>
    <row r="22" spans="1:111" s="18" customFormat="1" ht="45" customHeight="1">
      <c r="B22" s="362" t="s">
        <v>174</v>
      </c>
      <c r="C22" s="362" t="s">
        <v>109</v>
      </c>
      <c r="D22" s="362" t="s">
        <v>152</v>
      </c>
      <c r="E22" s="362" t="s">
        <v>156</v>
      </c>
      <c r="F22" s="362" t="s">
        <v>162</v>
      </c>
      <c r="G22" s="362" t="s">
        <v>308</v>
      </c>
      <c r="H22" s="362" t="s">
        <v>107</v>
      </c>
      <c r="I22" s="362" t="s">
        <v>208</v>
      </c>
      <c r="J22" s="362" t="s">
        <v>146</v>
      </c>
      <c r="K22" s="362" t="s">
        <v>134</v>
      </c>
      <c r="L22" s="362" t="s">
        <v>21</v>
      </c>
      <c r="M22" s="362" t="s">
        <v>59</v>
      </c>
      <c r="N22" s="362" t="s">
        <v>95</v>
      </c>
      <c r="O22" s="362" t="s">
        <v>19</v>
      </c>
      <c r="P22" s="362" t="s">
        <v>42</v>
      </c>
      <c r="Q22" s="362" t="s">
        <v>119</v>
      </c>
      <c r="R22" s="362" t="s">
        <v>175</v>
      </c>
      <c r="S22" s="362" t="s">
        <v>148</v>
      </c>
      <c r="T22" s="362" t="s">
        <v>167</v>
      </c>
      <c r="U22" s="362" t="s">
        <v>15</v>
      </c>
      <c r="V22" s="362" t="s">
        <v>113</v>
      </c>
      <c r="W22" s="362" t="s">
        <v>309</v>
      </c>
      <c r="X22" s="362" t="s">
        <v>169</v>
      </c>
      <c r="Y22" s="362" t="s">
        <v>164</v>
      </c>
      <c r="Z22" s="362" t="s">
        <v>303</v>
      </c>
      <c r="AA22" s="362" t="s">
        <v>106</v>
      </c>
      <c r="AL22" s="362" t="s">
        <v>174</v>
      </c>
      <c r="AM22" s="362" t="s">
        <v>109</v>
      </c>
      <c r="AN22" s="362" t="s">
        <v>152</v>
      </c>
      <c r="AO22" s="362" t="s">
        <v>156</v>
      </c>
      <c r="AP22" s="362" t="s">
        <v>162</v>
      </c>
      <c r="AQ22" s="362" t="s">
        <v>308</v>
      </c>
      <c r="AR22" s="362" t="s">
        <v>107</v>
      </c>
      <c r="AS22" s="362" t="s">
        <v>208</v>
      </c>
      <c r="AT22" s="362" t="s">
        <v>146</v>
      </c>
      <c r="AU22" s="362" t="s">
        <v>134</v>
      </c>
      <c r="AV22" s="362" t="s">
        <v>21</v>
      </c>
      <c r="AW22" s="362" t="s">
        <v>59</v>
      </c>
      <c r="AX22" s="362" t="s">
        <v>95</v>
      </c>
      <c r="AY22" s="362" t="s">
        <v>19</v>
      </c>
      <c r="AZ22" s="362" t="s">
        <v>42</v>
      </c>
      <c r="BA22" s="362" t="s">
        <v>119</v>
      </c>
      <c r="BB22" s="362" t="s">
        <v>175</v>
      </c>
      <c r="BC22" s="362" t="s">
        <v>148</v>
      </c>
      <c r="BD22" s="362" t="s">
        <v>167</v>
      </c>
      <c r="BE22" s="362" t="s">
        <v>15</v>
      </c>
      <c r="BF22" s="362" t="s">
        <v>113</v>
      </c>
      <c r="BG22" s="362" t="s">
        <v>309</v>
      </c>
      <c r="BH22" s="362" t="s">
        <v>169</v>
      </c>
      <c r="BI22" s="362" t="s">
        <v>164</v>
      </c>
      <c r="BJ22" s="362" t="s">
        <v>303</v>
      </c>
      <c r="BK22" s="362" t="s">
        <v>106</v>
      </c>
      <c r="BM22" s="14"/>
      <c r="BN22" s="39">
        <f t="shared" si="1"/>
        <v>18</v>
      </c>
      <c r="BO22" s="354" t="str" cm="1">
        <f t="array" ref="BO22" xml:space="preserve"> INDEX(_xlfn.ANCHORARRAY($D$17), 1, $BN22)</f>
        <v>j</v>
      </c>
      <c r="BP22" s="351" t="str" cm="1">
        <f t="array" ref="BP22" xml:space="preserve"> INDEX(_xlfn.ANCHORARRAY($D$18), 1, $BN22)</f>
        <v>r</v>
      </c>
      <c r="BQ22" s="269" t="str" cm="1">
        <f t="array" ref="BQ22" xml:space="preserve"> INDEX(_xlfn.ANCHORARRAY($D$19), 1, $BN22)</f>
        <v>ㄐ</v>
      </c>
      <c r="BR22" s="355" t="str" cm="1">
        <f t="array" ref="BR22" xml:space="preserve"> INDEX(_xlfn.ANCHORARRAY($D$20), 1, $BN22)</f>
        <v>j</v>
      </c>
      <c r="BS22" s="356" t="str" cm="1">
        <f t="array" ref="BS22" xml:space="preserve"> INDEX(注音編碼對照表[聲韻調], MATCH(TRUE, EXACT($BP22, 注音編碼對照表[鍵盤按鍵]), 0))</f>
        <v>聲</v>
      </c>
      <c r="BT22" s="357">
        <f t="shared" si="2"/>
        <v>1</v>
      </c>
      <c r="BV22" s="123" t="str">
        <f t="shared" si="3"/>
        <v xml:space="preserve">    "r": { commit: "ㄐ" }  # /j/ ==&gt; j</v>
      </c>
      <c r="BW22" s="40"/>
      <c r="BX22" s="39">
        <f t="shared" si="4"/>
        <v>18</v>
      </c>
      <c r="BY22" s="332" t="str">
        <v>a</v>
      </c>
      <c r="BZ22" s="271" t="str">
        <v>8</v>
      </c>
      <c r="CA22" s="269" t="str">
        <v>ㄚ</v>
      </c>
      <c r="CB22" s="10" t="str">
        <v>a</v>
      </c>
      <c r="CC22" s="270" t="str">
        <v>韻</v>
      </c>
      <c r="CD22" s="272">
        <v>1</v>
      </c>
      <c r="CF22" s="242" t="str">
        <f t="shared" si="10"/>
        <v/>
      </c>
      <c r="CG22" s="39">
        <f t="shared" si="5"/>
        <v>18</v>
      </c>
      <c r="CH22" s="332"/>
      <c r="CI22" s="271"/>
      <c r="CJ22" s="269"/>
      <c r="CK22" s="10"/>
      <c r="CL22" s="270"/>
      <c r="CM22" s="272"/>
      <c r="CO22" s="242" t="str">
        <f t="shared" si="6"/>
        <v/>
      </c>
      <c r="CP22" s="39">
        <f t="shared" si="7"/>
        <v>18</v>
      </c>
      <c r="CQ22" s="332" t="str">
        <v>c</v>
      </c>
      <c r="CR22" s="271" t="str">
        <v>h</v>
      </c>
      <c r="CS22" s="269" t="str">
        <v>ㄘ</v>
      </c>
      <c r="CT22" s="10" t="str">
        <v>c</v>
      </c>
      <c r="CU22" s="270" t="str">
        <v>聲</v>
      </c>
      <c r="CV22" s="272">
        <v>1</v>
      </c>
      <c r="CX22" s="377" t="str">
        <f t="shared" si="8"/>
        <v/>
      </c>
      <c r="CY22" s="39">
        <f t="shared" si="9"/>
        <v>18</v>
      </c>
      <c r="CZ22" s="332"/>
      <c r="DA22" s="271"/>
      <c r="DB22" s="269"/>
      <c r="DC22" s="10"/>
      <c r="DD22" s="270"/>
      <c r="DE22" s="272"/>
      <c r="DG22" s="242"/>
    </row>
    <row r="23" spans="1:111" s="258" customFormat="1" ht="45" customHeight="1">
      <c r="A23" s="18"/>
      <c r="B23" s="340">
        <f xml:space="preserve"> IF( ISNUMBER( FIND(B22, _xlfn.CONCAT($D$17:$BK$17)) ),  FIND(B22, _xlfn.CONCAT($D$17:$BK$17)), "V")</f>
        <v>22</v>
      </c>
      <c r="C23" s="340">
        <f t="shared" ref="C23:AA23" si="11" xml:space="preserve"> IF( ISNUMBER( FIND(C22, _xlfn.CONCAT($D$17:$BK$17)) ),  FIND(C22, _xlfn.CONCAT($D$17:$BK$17)), "V")</f>
        <v>3</v>
      </c>
      <c r="D23" s="340">
        <f t="shared" si="11"/>
        <v>15</v>
      </c>
      <c r="E23" s="340">
        <f t="shared" si="11"/>
        <v>6</v>
      </c>
      <c r="F23" s="340">
        <f t="shared" si="11"/>
        <v>26</v>
      </c>
      <c r="G23" s="340" t="str">
        <f t="shared" si="11"/>
        <v>V</v>
      </c>
      <c r="H23" s="340">
        <f t="shared" si="11"/>
        <v>11</v>
      </c>
      <c r="I23" s="340">
        <f t="shared" si="11"/>
        <v>21</v>
      </c>
      <c r="J23" s="340">
        <f t="shared" si="11"/>
        <v>23</v>
      </c>
      <c r="K23" s="340">
        <f t="shared" si="11"/>
        <v>18</v>
      </c>
      <c r="L23" s="340">
        <f t="shared" si="11"/>
        <v>12</v>
      </c>
      <c r="M23" s="340">
        <f t="shared" si="11"/>
        <v>8</v>
      </c>
      <c r="N23" s="340">
        <f t="shared" si="11"/>
        <v>1</v>
      </c>
      <c r="O23" s="340">
        <f t="shared" si="11"/>
        <v>5</v>
      </c>
      <c r="P23" s="340">
        <f t="shared" si="11"/>
        <v>28</v>
      </c>
      <c r="Q23" s="340">
        <f t="shared" si="11"/>
        <v>4</v>
      </c>
      <c r="R23" s="340" t="str">
        <f t="shared" si="11"/>
        <v>V</v>
      </c>
      <c r="S23" s="340" t="str">
        <f t="shared" si="11"/>
        <v>V</v>
      </c>
      <c r="T23" s="340">
        <f t="shared" si="11"/>
        <v>16</v>
      </c>
      <c r="U23" s="340">
        <f t="shared" si="11"/>
        <v>7</v>
      </c>
      <c r="V23" s="340">
        <f t="shared" si="11"/>
        <v>25</v>
      </c>
      <c r="W23" s="340">
        <f t="shared" si="11"/>
        <v>10</v>
      </c>
      <c r="X23" s="340">
        <f t="shared" si="11"/>
        <v>24</v>
      </c>
      <c r="Y23" s="340">
        <f t="shared" si="11"/>
        <v>36</v>
      </c>
      <c r="Z23" s="340">
        <f t="shared" si="11"/>
        <v>37</v>
      </c>
      <c r="AA23" s="340">
        <f t="shared" si="11"/>
        <v>14</v>
      </c>
      <c r="AB23" s="18"/>
      <c r="AC23" s="18"/>
      <c r="AE23" s="18"/>
      <c r="AL23" s="340">
        <f xml:space="preserve"> IF( ISNUMBER( FIND(AL22, _xlfn.CONCAT($D$17:$BK$17)) ),  FIND(AL22, _xlfn.CONCAT($D$17:$BK$17)), "V")</f>
        <v>22</v>
      </c>
      <c r="AM23" s="340">
        <f t="shared" ref="AM23" si="12" xml:space="preserve"> IF( ISNUMBER( FIND(AM22, _xlfn.CONCAT($D$17:$BK$17)) ),  FIND(AM22, _xlfn.CONCAT($D$17:$BK$17)), "V")</f>
        <v>3</v>
      </c>
      <c r="AN23" s="340">
        <f t="shared" ref="AN23" si="13" xml:space="preserve"> IF( ISNUMBER( FIND(AN22, _xlfn.CONCAT($D$17:$BK$17)) ),  FIND(AN22, _xlfn.CONCAT($D$17:$BK$17)), "V")</f>
        <v>15</v>
      </c>
      <c r="AO23" s="340">
        <f t="shared" ref="AO23" si="14" xml:space="preserve"> IF( ISNUMBER( FIND(AO22, _xlfn.CONCAT($D$17:$BK$17)) ),  FIND(AO22, _xlfn.CONCAT($D$17:$BK$17)), "V")</f>
        <v>6</v>
      </c>
      <c r="AP23" s="340">
        <f t="shared" ref="AP23" si="15" xml:space="preserve"> IF( ISNUMBER( FIND(AP22, _xlfn.CONCAT($D$17:$BK$17)) ),  FIND(AP22, _xlfn.CONCAT($D$17:$BK$17)), "V")</f>
        <v>26</v>
      </c>
      <c r="AQ23" s="340" t="str">
        <f t="shared" ref="AQ23" si="16" xml:space="preserve"> IF( ISNUMBER( FIND(AQ22, _xlfn.CONCAT($D$17:$BK$17)) ),  FIND(AQ22, _xlfn.CONCAT($D$17:$BK$17)), "V")</f>
        <v>V</v>
      </c>
      <c r="AR23" s="340">
        <f t="shared" ref="AR23" si="17" xml:space="preserve"> IF( ISNUMBER( FIND(AR22, _xlfn.CONCAT($D$17:$BK$17)) ),  FIND(AR22, _xlfn.CONCAT($D$17:$BK$17)), "V")</f>
        <v>11</v>
      </c>
      <c r="AS23" s="340">
        <f t="shared" ref="AS23" si="18" xml:space="preserve"> IF( ISNUMBER( FIND(AS22, _xlfn.CONCAT($D$17:$BK$17)) ),  FIND(AS22, _xlfn.CONCAT($D$17:$BK$17)), "V")</f>
        <v>21</v>
      </c>
      <c r="AT23" s="340">
        <f t="shared" ref="AT23" si="19" xml:space="preserve"> IF( ISNUMBER( FIND(AT22, _xlfn.CONCAT($D$17:$BK$17)) ),  FIND(AT22, _xlfn.CONCAT($D$17:$BK$17)), "V")</f>
        <v>23</v>
      </c>
      <c r="AU23" s="340">
        <f t="shared" ref="AU23" si="20" xml:space="preserve"> IF( ISNUMBER( FIND(AU22, _xlfn.CONCAT($D$17:$BK$17)) ),  FIND(AU22, _xlfn.CONCAT($D$17:$BK$17)), "V")</f>
        <v>18</v>
      </c>
      <c r="AV23" s="340">
        <f t="shared" ref="AV23" si="21" xml:space="preserve"> IF( ISNUMBER( FIND(AV22, _xlfn.CONCAT($D$17:$BK$17)) ),  FIND(AV22, _xlfn.CONCAT($D$17:$BK$17)), "V")</f>
        <v>12</v>
      </c>
      <c r="AW23" s="340">
        <f t="shared" ref="AW23" si="22" xml:space="preserve"> IF( ISNUMBER( FIND(AW22, _xlfn.CONCAT($D$17:$BK$17)) ),  FIND(AW22, _xlfn.CONCAT($D$17:$BK$17)), "V")</f>
        <v>8</v>
      </c>
      <c r="AX23" s="340">
        <f t="shared" ref="AX23" si="23" xml:space="preserve"> IF( ISNUMBER( FIND(AX22, _xlfn.CONCAT($D$17:$BK$17)) ),  FIND(AX22, _xlfn.CONCAT($D$17:$BK$17)), "V")</f>
        <v>1</v>
      </c>
      <c r="AY23" s="340">
        <f t="shared" ref="AY23" si="24" xml:space="preserve"> IF( ISNUMBER( FIND(AY22, _xlfn.CONCAT($D$17:$BK$17)) ),  FIND(AY22, _xlfn.CONCAT($D$17:$BK$17)), "V")</f>
        <v>5</v>
      </c>
      <c r="AZ23" s="340">
        <f t="shared" ref="AZ23" si="25" xml:space="preserve"> IF( ISNUMBER( FIND(AZ22, _xlfn.CONCAT($D$17:$BK$17)) ),  FIND(AZ22, _xlfn.CONCAT($D$17:$BK$17)), "V")</f>
        <v>28</v>
      </c>
      <c r="BA23" s="340">
        <f t="shared" ref="BA23" si="26" xml:space="preserve"> IF( ISNUMBER( FIND(BA22, _xlfn.CONCAT($D$17:$BK$17)) ),  FIND(BA22, _xlfn.CONCAT($D$17:$BK$17)), "V")</f>
        <v>4</v>
      </c>
      <c r="BB23" s="340" t="str">
        <f t="shared" ref="BB23" si="27" xml:space="preserve"> IF( ISNUMBER( FIND(BB22, _xlfn.CONCAT($D$17:$BK$17)) ),  FIND(BB22, _xlfn.CONCAT($D$17:$BK$17)), "V")</f>
        <v>V</v>
      </c>
      <c r="BC23" s="340" t="str">
        <f t="shared" ref="BC23" si="28" xml:space="preserve"> IF( ISNUMBER( FIND(BC22, _xlfn.CONCAT($D$17:$BK$17)) ),  FIND(BC22, _xlfn.CONCAT($D$17:$BK$17)), "V")</f>
        <v>V</v>
      </c>
      <c r="BD23" s="340">
        <f t="shared" ref="BD23" si="29" xml:space="preserve"> IF( ISNUMBER( FIND(BD22, _xlfn.CONCAT($D$17:$BK$17)) ),  FIND(BD22, _xlfn.CONCAT($D$17:$BK$17)), "V")</f>
        <v>16</v>
      </c>
      <c r="BE23" s="340">
        <f t="shared" ref="BE23" si="30" xml:space="preserve"> IF( ISNUMBER( FIND(BE22, _xlfn.CONCAT($D$17:$BK$17)) ),  FIND(BE22, _xlfn.CONCAT($D$17:$BK$17)), "V")</f>
        <v>7</v>
      </c>
      <c r="BF23" s="340">
        <f t="shared" ref="BF23" si="31" xml:space="preserve"> IF( ISNUMBER( FIND(BF22, _xlfn.CONCAT($D$17:$BK$17)) ),  FIND(BF22, _xlfn.CONCAT($D$17:$BK$17)), "V")</f>
        <v>25</v>
      </c>
      <c r="BG23" s="340">
        <f t="shared" ref="BG23" si="32" xml:space="preserve"> IF( ISNUMBER( FIND(BG22, _xlfn.CONCAT($D$17:$BK$17)) ),  FIND(BG22, _xlfn.CONCAT($D$17:$BK$17)), "V")</f>
        <v>10</v>
      </c>
      <c r="BH23" s="340">
        <f t="shared" ref="BH23" si="33" xml:space="preserve"> IF( ISNUMBER( FIND(BH22, _xlfn.CONCAT($D$17:$BK$17)) ),  FIND(BH22, _xlfn.CONCAT($D$17:$BK$17)), "V")</f>
        <v>24</v>
      </c>
      <c r="BI23" s="340">
        <f t="shared" ref="BI23" si="34" xml:space="preserve"> IF( ISNUMBER( FIND(BI22, _xlfn.CONCAT($D$17:$BK$17)) ),  FIND(BI22, _xlfn.CONCAT($D$17:$BK$17)), "V")</f>
        <v>36</v>
      </c>
      <c r="BJ23" s="340">
        <f t="shared" ref="BJ23" si="35" xml:space="preserve"> IF( ISNUMBER( FIND(BJ22, _xlfn.CONCAT($D$17:$BK$17)) ),  FIND(BJ22, _xlfn.CONCAT($D$17:$BK$17)), "V")</f>
        <v>37</v>
      </c>
      <c r="BK23" s="340">
        <f t="shared" ref="BK23" si="36" xml:space="preserve"> IF( ISNUMBER( FIND(BK22, _xlfn.CONCAT($D$17:$BK$17)) ),  FIND(BK22, _xlfn.CONCAT($D$17:$BK$17)), "V")</f>
        <v>14</v>
      </c>
      <c r="BL23" s="18"/>
      <c r="BM23" s="14"/>
      <c r="BN23" s="39">
        <f t="shared" si="1"/>
        <v>19</v>
      </c>
      <c r="BO23" s="354" t="str" cm="1">
        <f t="array" ref="BO23" xml:space="preserve"> INDEX(_xlfn.ANCHORARRAY($D$17), 1, $BN23)</f>
        <v>C</v>
      </c>
      <c r="BP23" s="351" t="str" cm="1">
        <f t="array" ref="BP23" xml:space="preserve"> INDEX(_xlfn.ANCHORARRAY($D$18), 1, $BN23)</f>
        <v>f</v>
      </c>
      <c r="BQ23" s="269" t="str" cm="1">
        <f t="array" ref="BQ23" xml:space="preserve"> INDEX(_xlfn.ANCHORARRAY($D$19), 1, $BN23)</f>
        <v>ㄑ</v>
      </c>
      <c r="BR23" s="355" t="str" cm="1">
        <f t="array" ref="BR23" xml:space="preserve"> INDEX(_xlfn.ANCHORARRAY($D$20), 1, $BN23)</f>
        <v>ch</v>
      </c>
      <c r="BS23" s="356" t="str" cm="1">
        <f t="array" ref="BS23" xml:space="preserve"> INDEX(注音編碼對照表[聲韻調], MATCH(TRUE, EXACT($BP23, 注音編碼對照表[鍵盤按鍵]), 0))</f>
        <v>聲</v>
      </c>
      <c r="BT23" s="357">
        <f t="shared" si="2"/>
        <v>2</v>
      </c>
      <c r="BU23" s="18"/>
      <c r="BV23" s="123" t="str">
        <f t="shared" si="3"/>
        <v xml:space="preserve">    "f": { commit: "ㄑ" }  # /ch/ ==&gt; C</v>
      </c>
      <c r="BW23" s="40"/>
      <c r="BX23" s="39">
        <f t="shared" si="4"/>
        <v>19</v>
      </c>
      <c r="BY23" s="332" t="str">
        <v>i</v>
      </c>
      <c r="BZ23" s="271" t="str">
        <v>u</v>
      </c>
      <c r="CA23" s="269" t="str">
        <v>ㄧ</v>
      </c>
      <c r="CB23" s="10" t="str">
        <v>i</v>
      </c>
      <c r="CC23" s="270" t="str">
        <v>韻</v>
      </c>
      <c r="CD23" s="272">
        <v>1</v>
      </c>
      <c r="CF23" s="242" t="str">
        <f t="shared" si="10"/>
        <v/>
      </c>
      <c r="CG23" s="39">
        <f t="shared" si="5"/>
        <v>19</v>
      </c>
      <c r="CH23" s="332"/>
      <c r="CI23" s="271"/>
      <c r="CJ23" s="269"/>
      <c r="CK23" s="10"/>
      <c r="CL23" s="270"/>
      <c r="CM23" s="272"/>
      <c r="CO23" s="242" t="str">
        <f t="shared" si="6"/>
        <v/>
      </c>
      <c r="CP23" s="39">
        <f t="shared" si="7"/>
        <v>19</v>
      </c>
      <c r="CQ23" s="332" t="str">
        <v>s</v>
      </c>
      <c r="CR23" s="271" t="str">
        <v>n</v>
      </c>
      <c r="CS23" s="269" t="str">
        <v>ㄙ</v>
      </c>
      <c r="CT23" s="10" t="str">
        <v>s</v>
      </c>
      <c r="CU23" s="270" t="str">
        <v>聲</v>
      </c>
      <c r="CV23" s="272">
        <v>1</v>
      </c>
      <c r="CX23" s="377" t="str">
        <f t="shared" si="8"/>
        <v/>
      </c>
      <c r="CY23" s="39">
        <f t="shared" si="9"/>
        <v>19</v>
      </c>
      <c r="CZ23" s="332"/>
      <c r="DA23" s="271"/>
      <c r="DB23" s="269"/>
      <c r="DC23" s="10"/>
      <c r="DD23" s="270"/>
      <c r="DE23" s="272"/>
      <c r="DG23" s="242"/>
    </row>
    <row r="24" spans="1:111" s="18" customFormat="1" ht="45" customHeight="1">
      <c r="A24" s="27"/>
      <c r="B24" s="363" t="str">
        <f xml:space="preserve"> IF( ISNUMBER( FIND(B22, _xlfn.CONCAT($D$17:$BK$17)) ), "X", B22)</f>
        <v>X</v>
      </c>
      <c r="C24" s="363" t="str">
        <f t="shared" ref="C24:AA24" si="37" xml:space="preserve"> IF( ISNUMBER( FIND(C22, _xlfn.CONCAT($D$17:$BK$17)) ), "X", C22)</f>
        <v>X</v>
      </c>
      <c r="D24" s="363" t="str">
        <f t="shared" si="37"/>
        <v>X</v>
      </c>
      <c r="E24" s="363" t="str">
        <f t="shared" si="37"/>
        <v>X</v>
      </c>
      <c r="F24" s="363" t="str">
        <f t="shared" si="37"/>
        <v>X</v>
      </c>
      <c r="G24" s="364" t="str">
        <f t="shared" si="37"/>
        <v>f</v>
      </c>
      <c r="H24" s="363" t="str">
        <f t="shared" si="37"/>
        <v>X</v>
      </c>
      <c r="I24" s="363" t="str">
        <f t="shared" si="37"/>
        <v>X</v>
      </c>
      <c r="J24" s="363" t="str">
        <f t="shared" si="37"/>
        <v>X</v>
      </c>
      <c r="K24" s="363" t="str">
        <f t="shared" si="37"/>
        <v>X</v>
      </c>
      <c r="L24" s="363" t="str">
        <f t="shared" si="37"/>
        <v>X</v>
      </c>
      <c r="M24" s="363" t="str">
        <f t="shared" si="37"/>
        <v>X</v>
      </c>
      <c r="N24" s="363" t="str">
        <f t="shared" si="37"/>
        <v>X</v>
      </c>
      <c r="O24" s="363" t="str">
        <f t="shared" si="37"/>
        <v>X</v>
      </c>
      <c r="P24" s="363" t="str">
        <f t="shared" si="37"/>
        <v>X</v>
      </c>
      <c r="Q24" s="363" t="str">
        <f t="shared" si="37"/>
        <v>X</v>
      </c>
      <c r="R24" s="364" t="str">
        <f t="shared" si="37"/>
        <v>q</v>
      </c>
      <c r="S24" s="364" t="str">
        <f t="shared" si="37"/>
        <v>r</v>
      </c>
      <c r="T24" s="363" t="str">
        <f t="shared" si="37"/>
        <v>X</v>
      </c>
      <c r="U24" s="363" t="str">
        <f t="shared" si="37"/>
        <v>X</v>
      </c>
      <c r="V24" s="363" t="str">
        <f t="shared" si="37"/>
        <v>X</v>
      </c>
      <c r="W24" s="363" t="str">
        <f t="shared" si="37"/>
        <v>X</v>
      </c>
      <c r="X24" s="363" t="str">
        <f t="shared" si="37"/>
        <v>X</v>
      </c>
      <c r="Y24" s="363" t="str">
        <f t="shared" si="37"/>
        <v>X</v>
      </c>
      <c r="Z24" s="363" t="str">
        <f t="shared" si="37"/>
        <v>X</v>
      </c>
      <c r="AA24" s="363" t="str">
        <f t="shared" si="37"/>
        <v>X</v>
      </c>
      <c r="AB24" s="365"/>
      <c r="AC24" s="365"/>
      <c r="AD24" s="366"/>
      <c r="AE24" s="365"/>
      <c r="AF24" s="366"/>
      <c r="AG24" s="366"/>
      <c r="AH24" s="366"/>
      <c r="AI24" s="366"/>
      <c r="AJ24" s="366"/>
      <c r="AK24" s="366"/>
      <c r="AL24" s="363" t="str">
        <f xml:space="preserve"> IF( ISNUMBER( FIND(AL22, _xlfn.CONCAT($D$17:$BK$17)) ), "X", AL22)</f>
        <v>X</v>
      </c>
      <c r="AM24" s="363" t="str">
        <f t="shared" ref="AM24:BK24" si="38" xml:space="preserve"> IF( ISNUMBER( FIND(AM22, _xlfn.CONCAT($D$17:$BK$17)) ), "X", AM22)</f>
        <v>X</v>
      </c>
      <c r="AN24" s="363" t="str">
        <f t="shared" si="38"/>
        <v>X</v>
      </c>
      <c r="AO24" s="363" t="str">
        <f t="shared" si="38"/>
        <v>X</v>
      </c>
      <c r="AP24" s="363" t="str">
        <f t="shared" si="38"/>
        <v>X</v>
      </c>
      <c r="AQ24" s="364" t="str">
        <f t="shared" si="38"/>
        <v>f</v>
      </c>
      <c r="AR24" s="363" t="str">
        <f t="shared" si="38"/>
        <v>X</v>
      </c>
      <c r="AS24" s="363" t="str">
        <f t="shared" si="38"/>
        <v>X</v>
      </c>
      <c r="AT24" s="363" t="str">
        <f t="shared" si="38"/>
        <v>X</v>
      </c>
      <c r="AU24" s="363" t="str">
        <f t="shared" si="38"/>
        <v>X</v>
      </c>
      <c r="AV24" s="363" t="str">
        <f t="shared" si="38"/>
        <v>X</v>
      </c>
      <c r="AW24" s="363" t="str">
        <f t="shared" si="38"/>
        <v>X</v>
      </c>
      <c r="AX24" s="363" t="str">
        <f t="shared" si="38"/>
        <v>X</v>
      </c>
      <c r="AY24" s="363" t="str">
        <f t="shared" si="38"/>
        <v>X</v>
      </c>
      <c r="AZ24" s="363" t="str">
        <f t="shared" si="38"/>
        <v>X</v>
      </c>
      <c r="BA24" s="363" t="str">
        <f t="shared" si="38"/>
        <v>X</v>
      </c>
      <c r="BB24" s="363" t="str">
        <f t="shared" si="38"/>
        <v>q</v>
      </c>
      <c r="BC24" s="363" t="str">
        <f t="shared" si="38"/>
        <v>r</v>
      </c>
      <c r="BD24" s="363" t="str">
        <f t="shared" si="38"/>
        <v>X</v>
      </c>
      <c r="BE24" s="363" t="str">
        <f t="shared" si="38"/>
        <v>X</v>
      </c>
      <c r="BF24" s="363" t="str">
        <f t="shared" si="38"/>
        <v>X</v>
      </c>
      <c r="BG24" s="363" t="str">
        <f t="shared" si="38"/>
        <v>X</v>
      </c>
      <c r="BH24" s="363" t="str">
        <f t="shared" si="38"/>
        <v>X</v>
      </c>
      <c r="BI24" s="363" t="str">
        <f t="shared" si="38"/>
        <v>X</v>
      </c>
      <c r="BJ24" s="363" t="str">
        <f t="shared" si="38"/>
        <v>X</v>
      </c>
      <c r="BK24" s="363" t="str">
        <f t="shared" si="38"/>
        <v>X</v>
      </c>
      <c r="BM24" s="14"/>
      <c r="BN24" s="39">
        <f t="shared" si="1"/>
        <v>20</v>
      </c>
      <c r="BO24" s="354" t="str" cm="1">
        <f t="array" ref="BO24" xml:space="preserve"> INDEX(_xlfn.ANCHORARRAY($D$17), 1, $BN24)</f>
        <v>S</v>
      </c>
      <c r="BP24" s="351" t="str" cm="1">
        <f t="array" ref="BP24" xml:space="preserve"> INDEX(_xlfn.ANCHORARRAY($D$18), 1, $BN24)</f>
        <v>v</v>
      </c>
      <c r="BQ24" s="269" t="str" cm="1">
        <f t="array" ref="BQ24" xml:space="preserve"> INDEX(_xlfn.ANCHORARRAY($D$19), 1, $BN24)</f>
        <v>ㄒ</v>
      </c>
      <c r="BR24" s="355" t="str" cm="1">
        <f t="array" ref="BR24" xml:space="preserve"> INDEX(_xlfn.ANCHORARRAY($D$20), 1, $BN24)</f>
        <v>sh</v>
      </c>
      <c r="BS24" s="356" t="str" cm="1">
        <f t="array" ref="BS24" xml:space="preserve"> INDEX(注音編碼對照表[聲韻調], MATCH(TRUE, EXACT($BP24, 注音編碼對照表[鍵盤按鍵]), 0))</f>
        <v>聲</v>
      </c>
      <c r="BT24" s="357">
        <f t="shared" si="2"/>
        <v>2</v>
      </c>
      <c r="BU24" s="258"/>
      <c r="BV24" s="123" t="str">
        <f t="shared" si="3"/>
        <v xml:space="preserve">    "v": { commit: "ㄒ" }  # /sh/ ==&gt; S</v>
      </c>
      <c r="BW24" s="260"/>
      <c r="BX24" s="39">
        <f t="shared" si="4"/>
        <v>20</v>
      </c>
      <c r="BY24" s="332" t="str">
        <v>u</v>
      </c>
      <c r="BZ24" s="271" t="str">
        <v>j</v>
      </c>
      <c r="CA24" s="269" t="str">
        <v>ㄨ</v>
      </c>
      <c r="CB24" s="10" t="str">
        <v>u</v>
      </c>
      <c r="CC24" s="270" t="str">
        <v>韻</v>
      </c>
      <c r="CD24" s="272">
        <v>1</v>
      </c>
      <c r="CF24" s="242" t="str">
        <f t="shared" si="10"/>
        <v/>
      </c>
      <c r="CG24" s="39">
        <f t="shared" si="5"/>
        <v>20</v>
      </c>
      <c r="CH24" s="332"/>
      <c r="CI24" s="271"/>
      <c r="CJ24" s="269"/>
      <c r="CK24" s="10"/>
      <c r="CL24" s="270"/>
      <c r="CM24" s="272"/>
      <c r="CO24" s="242" t="str">
        <f t="shared" si="6"/>
        <v/>
      </c>
      <c r="CP24" s="39">
        <f t="shared" si="7"/>
        <v>20</v>
      </c>
      <c r="CQ24" s="332" t="str">
        <v>j</v>
      </c>
      <c r="CR24" s="271" t="str">
        <v>r</v>
      </c>
      <c r="CS24" s="269" t="str">
        <v>ㄐ</v>
      </c>
      <c r="CT24" s="10" t="str">
        <v>j</v>
      </c>
      <c r="CU24" s="270" t="str">
        <v>聲</v>
      </c>
      <c r="CV24" s="272">
        <v>1</v>
      </c>
      <c r="CX24" s="377" t="str">
        <f t="shared" si="8"/>
        <v/>
      </c>
      <c r="CY24" s="39">
        <f t="shared" si="9"/>
        <v>20</v>
      </c>
      <c r="CZ24" s="332"/>
      <c r="DA24" s="271"/>
      <c r="DB24" s="269"/>
      <c r="DC24" s="10"/>
      <c r="DD24" s="270"/>
      <c r="DE24" s="272"/>
      <c r="DG24" s="242"/>
    </row>
    <row r="25" spans="1:111" s="18" customFormat="1" ht="45" customHeight="1">
      <c r="AD25" s="341"/>
      <c r="AF25" s="341"/>
      <c r="AG25" s="341"/>
      <c r="AH25" s="341"/>
      <c r="AI25" s="341"/>
      <c r="AJ25" s="341"/>
      <c r="AK25" s="341"/>
      <c r="AL25" s="341"/>
      <c r="AM25" s="341"/>
      <c r="AN25" s="341"/>
      <c r="AO25" s="341"/>
      <c r="AP25" s="341"/>
      <c r="AQ25" s="341"/>
      <c r="AR25" s="341"/>
      <c r="AS25" s="341"/>
      <c r="AT25" s="341"/>
      <c r="AU25" s="341"/>
      <c r="AV25" s="341"/>
      <c r="AW25" s="341"/>
      <c r="AX25" s="341"/>
      <c r="AY25" s="341"/>
      <c r="AZ25" s="341"/>
      <c r="BA25" s="341"/>
      <c r="BB25" s="341"/>
      <c r="BC25" s="341"/>
      <c r="BM25" s="14"/>
      <c r="BN25" s="39">
        <f t="shared" si="1"/>
        <v>21</v>
      </c>
      <c r="BO25" s="354" t="str" cm="1">
        <f t="array" ref="BO25" xml:space="preserve"> INDEX(_xlfn.ANCHORARRAY($D$17), 1, $BN25)</f>
        <v>h</v>
      </c>
      <c r="BP25" s="351" t="str" cm="1">
        <f t="array" ref="BP25" xml:space="preserve"> INDEX(_xlfn.ANCHORARRAY($D$18), 1, $BN25)</f>
        <v>c</v>
      </c>
      <c r="BQ25" s="269" t="str" cm="1">
        <f t="array" ref="BQ25" xml:space="preserve"> INDEX(_xlfn.ANCHORARRAY($D$19), 1, $BN25)</f>
        <v>ㄏ</v>
      </c>
      <c r="BR25" s="355" t="str" cm="1">
        <f t="array" ref="BR25" xml:space="preserve"> INDEX(_xlfn.ANCHORARRAY($D$20), 1, $BN25)</f>
        <v>h</v>
      </c>
      <c r="BS25" s="356" t="str" cm="1">
        <f t="array" ref="BS25" xml:space="preserve"> INDEX(注音編碼對照表[聲韻調], MATCH(TRUE, EXACT($BP25, 注音編碼對照表[鍵盤按鍵]), 0))</f>
        <v>聲</v>
      </c>
      <c r="BT25" s="357">
        <f t="shared" si="2"/>
        <v>1</v>
      </c>
      <c r="BV25" s="123" t="str">
        <f t="shared" si="3"/>
        <v xml:space="preserve">    "c": { commit: "ㄏ" }  # /h/ ==&gt; h</v>
      </c>
      <c r="BW25" s="40"/>
      <c r="BX25" s="39">
        <f t="shared" si="4"/>
        <v>21</v>
      </c>
      <c r="BY25" s="332" t="str">
        <v>e</v>
      </c>
      <c r="BZ25" s="271" t="str">
        <v>,</v>
      </c>
      <c r="CA25" s="269" t="str">
        <v>ㆤ</v>
      </c>
      <c r="CB25" s="10" t="str">
        <v>e</v>
      </c>
      <c r="CC25" s="270" t="str">
        <v>韻</v>
      </c>
      <c r="CD25" s="272">
        <v>1</v>
      </c>
      <c r="CF25" s="242" t="str">
        <f t="shared" si="10"/>
        <v/>
      </c>
      <c r="CG25" s="39">
        <f t="shared" si="5"/>
        <v>21</v>
      </c>
      <c r="CH25" s="332"/>
      <c r="CI25" s="271"/>
      <c r="CJ25" s="269"/>
      <c r="CK25" s="10"/>
      <c r="CL25" s="270"/>
      <c r="CM25" s="272"/>
      <c r="CO25" s="242" t="str">
        <f t="shared" si="6"/>
        <v/>
      </c>
      <c r="CP25" s="39">
        <f t="shared" si="7"/>
        <v>21</v>
      </c>
      <c r="CQ25" s="332" t="str">
        <v>h</v>
      </c>
      <c r="CR25" s="271" t="str">
        <v>c</v>
      </c>
      <c r="CS25" s="269" t="str">
        <v>ㄏ</v>
      </c>
      <c r="CT25" s="10" t="str">
        <v>h</v>
      </c>
      <c r="CU25" s="270" t="str">
        <v>聲</v>
      </c>
      <c r="CV25" s="272">
        <v>1</v>
      </c>
      <c r="CX25" s="377" t="str">
        <f t="shared" si="8"/>
        <v/>
      </c>
      <c r="CY25" s="39">
        <f t="shared" si="9"/>
        <v>21</v>
      </c>
      <c r="CZ25" s="332"/>
      <c r="DA25" s="271"/>
      <c r="DB25" s="269"/>
      <c r="DC25" s="10"/>
      <c r="DD25" s="270"/>
      <c r="DE25" s="272"/>
      <c r="DG25" s="242"/>
    </row>
    <row r="26" spans="1:111" s="18" customFormat="1" ht="45" customHeight="1" outlineLevel="1">
      <c r="A26" s="255"/>
      <c r="AD26" s="341"/>
      <c r="AF26" s="341"/>
      <c r="AG26" s="341"/>
      <c r="AH26" s="341"/>
      <c r="AI26" s="341"/>
      <c r="AJ26" s="341"/>
      <c r="AK26" s="341"/>
      <c r="AL26" s="341"/>
      <c r="AM26" s="341"/>
      <c r="AN26" s="341"/>
      <c r="AO26" s="341"/>
      <c r="AP26" s="341"/>
      <c r="AQ26" s="341"/>
      <c r="AR26" s="341"/>
      <c r="AS26" s="341"/>
      <c r="AT26" s="341"/>
      <c r="AU26" s="341"/>
      <c r="AV26" s="341"/>
      <c r="AW26" s="341"/>
      <c r="AX26" s="341"/>
      <c r="AY26" s="341"/>
      <c r="AZ26" s="341"/>
      <c r="BA26" s="341"/>
      <c r="BB26" s="341"/>
      <c r="BC26" s="341"/>
      <c r="BM26" s="14"/>
      <c r="BN26" s="39">
        <f t="shared" si="1"/>
        <v>22</v>
      </c>
      <c r="BO26" s="354" t="str" cm="1">
        <f t="array" ref="BO26" xml:space="preserve"> INDEX(_xlfn.ANCHORARRAY($D$17), 1, $BN26)</f>
        <v>a</v>
      </c>
      <c r="BP26" s="351" t="str" cm="1">
        <f t="array" ref="BP26" xml:space="preserve"> INDEX(_xlfn.ANCHORARRAY($D$18), 1, $BN26)</f>
        <v>8</v>
      </c>
      <c r="BQ26" s="269" t="str" cm="1">
        <f t="array" ref="BQ26" xml:space="preserve"> INDEX(_xlfn.ANCHORARRAY($D$19), 1, $BN26)</f>
        <v>ㄚ</v>
      </c>
      <c r="BR26" s="355" t="str" cm="1">
        <f t="array" ref="BR26" xml:space="preserve"> INDEX(_xlfn.ANCHORARRAY($D$20), 1, $BN26)</f>
        <v>a</v>
      </c>
      <c r="BS26" s="356" t="str" cm="1">
        <f t="array" ref="BS26" xml:space="preserve"> INDEX(注音編碼對照表[聲韻調], MATCH(TRUE, EXACT($BP26, 注音編碼對照表[鍵盤按鍵]), 0))</f>
        <v>韻</v>
      </c>
      <c r="BT26" s="357">
        <f t="shared" si="2"/>
        <v>1</v>
      </c>
      <c r="BV26" s="123" t="str">
        <f t="shared" si="3"/>
        <v xml:space="preserve">    "8": { commit: "ㄚ" }  # /a/ ==&gt; a</v>
      </c>
      <c r="BW26" s="40"/>
      <c r="BX26" s="39">
        <f t="shared" si="4"/>
        <v>22</v>
      </c>
      <c r="BY26" s="332" t="str">
        <v>o</v>
      </c>
      <c r="BZ26" s="271" t="str">
        <v>k</v>
      </c>
      <c r="CA26" s="269" t="str">
        <v>ㄜ</v>
      </c>
      <c r="CB26" s="10" t="str">
        <v>o</v>
      </c>
      <c r="CC26" s="270" t="str">
        <v>韻</v>
      </c>
      <c r="CD26" s="272">
        <v>1</v>
      </c>
      <c r="CF26" s="242" t="str">
        <f t="shared" si="10"/>
        <v/>
      </c>
      <c r="CG26" s="39">
        <f t="shared" si="5"/>
        <v>22</v>
      </c>
      <c r="CH26" s="332"/>
      <c r="CI26" s="271"/>
      <c r="CJ26" s="269"/>
      <c r="CK26" s="10"/>
      <c r="CL26" s="270"/>
      <c r="CM26" s="272"/>
      <c r="CO26" s="242" t="str">
        <f t="shared" si="6"/>
        <v/>
      </c>
      <c r="CP26" s="39">
        <f t="shared" si="7"/>
        <v>22</v>
      </c>
      <c r="CQ26" s="332"/>
      <c r="CR26" s="271"/>
      <c r="CS26" s="269"/>
      <c r="CT26" s="10"/>
      <c r="CU26" s="270"/>
      <c r="CV26" s="272"/>
      <c r="CX26" s="377" t="str">
        <f t="shared" si="8"/>
        <v/>
      </c>
      <c r="CY26" s="39">
        <f t="shared" si="9"/>
        <v>22</v>
      </c>
      <c r="CZ26" s="332"/>
      <c r="DA26" s="271"/>
      <c r="DB26" s="269"/>
      <c r="DC26" s="10"/>
      <c r="DD26" s="270"/>
      <c r="DE26" s="272"/>
      <c r="DG26" s="242"/>
    </row>
    <row r="27" spans="1:111" s="18" customFormat="1" ht="45" customHeight="1" outlineLevel="1">
      <c r="A27" s="27"/>
      <c r="B27" s="62" t="s">
        <v>318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5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1"/>
      <c r="AJ27" s="61"/>
      <c r="AK27" s="341"/>
      <c r="AL27" s="341"/>
      <c r="AM27" s="341"/>
      <c r="AN27" s="341"/>
      <c r="AO27" s="341"/>
      <c r="AP27" s="341"/>
      <c r="AQ27" s="341"/>
      <c r="AR27" s="341"/>
      <c r="AS27" s="341"/>
      <c r="AT27" s="341"/>
      <c r="AU27" s="341"/>
      <c r="AV27" s="341"/>
      <c r="AW27" s="341"/>
      <c r="AX27" s="341"/>
      <c r="AY27" s="341"/>
      <c r="AZ27" s="341"/>
      <c r="BA27" s="341"/>
      <c r="BB27" s="341"/>
      <c r="BC27" s="341"/>
      <c r="BM27" s="14"/>
      <c r="BN27" s="39">
        <f t="shared" si="1"/>
        <v>23</v>
      </c>
      <c r="BO27" s="354" t="str" cm="1">
        <f t="array" ref="BO27" xml:space="preserve"> INDEX(_xlfn.ANCHORARRAY($D$17), 1, $BN27)</f>
        <v>i</v>
      </c>
      <c r="BP27" s="351" t="str" cm="1">
        <f t="array" ref="BP27" xml:space="preserve"> INDEX(_xlfn.ANCHORARRAY($D$18), 1, $BN27)</f>
        <v>u</v>
      </c>
      <c r="BQ27" s="269" t="str" cm="1">
        <f t="array" ref="BQ27" xml:space="preserve"> INDEX(_xlfn.ANCHORARRAY($D$19), 1, $BN27)</f>
        <v>ㄧ</v>
      </c>
      <c r="BR27" s="355" t="str" cm="1">
        <f t="array" ref="BR27" xml:space="preserve"> INDEX(_xlfn.ANCHORARRAY($D$20), 1, $BN27)</f>
        <v>i</v>
      </c>
      <c r="BS27" s="356" t="str" cm="1">
        <f t="array" ref="BS27" xml:space="preserve"> INDEX(注音編碼對照表[聲韻調], MATCH(TRUE, EXACT($BP27, 注音編碼對照表[鍵盤按鍵]), 0))</f>
        <v>韻</v>
      </c>
      <c r="BT27" s="357">
        <f t="shared" si="2"/>
        <v>1</v>
      </c>
      <c r="BV27" s="123" t="str">
        <f t="shared" si="3"/>
        <v xml:space="preserve">    "u": { commit: "ㄧ" }  # /i/ ==&gt; i</v>
      </c>
      <c r="BW27" s="40"/>
      <c r="BX27" s="39">
        <f t="shared" si="4"/>
        <v>23</v>
      </c>
      <c r="BY27" s="332" t="str">
        <v>M</v>
      </c>
      <c r="BZ27" s="271" t="str">
        <v>m</v>
      </c>
      <c r="CA27" s="269" t="str">
        <v>ㆬ</v>
      </c>
      <c r="CB27" s="10" t="str">
        <v>m</v>
      </c>
      <c r="CC27" s="270" t="str">
        <v>韻</v>
      </c>
      <c r="CD27" s="272">
        <v>1</v>
      </c>
      <c r="CF27" s="242" t="str">
        <f t="shared" si="10"/>
        <v/>
      </c>
      <c r="CG27" s="39">
        <f t="shared" si="5"/>
        <v>23</v>
      </c>
      <c r="CH27" s="332"/>
      <c r="CI27" s="271"/>
      <c r="CJ27" s="269"/>
      <c r="CK27" s="10"/>
      <c r="CL27" s="270"/>
      <c r="CM27" s="272"/>
      <c r="CO27" s="242" t="str">
        <f t="shared" si="6"/>
        <v/>
      </c>
      <c r="CP27" s="39">
        <f t="shared" si="7"/>
        <v>23</v>
      </c>
      <c r="CQ27" s="332"/>
      <c r="CR27" s="271"/>
      <c r="CS27" s="269"/>
      <c r="CT27" s="10"/>
      <c r="CU27" s="270"/>
      <c r="CV27" s="272"/>
      <c r="CX27" s="377" t="str">
        <f t="shared" si="8"/>
        <v/>
      </c>
      <c r="CY27" s="39">
        <f t="shared" si="9"/>
        <v>23</v>
      </c>
      <c r="CZ27" s="332"/>
      <c r="DA27" s="271"/>
      <c r="DB27" s="269"/>
      <c r="DC27" s="10"/>
      <c r="DD27" s="270"/>
      <c r="DE27" s="272"/>
      <c r="DG27" s="242"/>
    </row>
    <row r="28" spans="1:111" s="18" customFormat="1" ht="45" customHeight="1" outlineLevel="1">
      <c r="A28" s="27"/>
      <c r="B28" s="321" t="str">
        <f>_xlfn.CONCAT("  alphabet: """,D18:AZ18,BI18:BK18,BA18:BH18,"""")</f>
        <v xml:space="preserve">  alphabet: "a!1qs2wxNEedYyhnRrfvc8uKj,ik9l*UJ&lt;I(Lmp/M0;Oobtgz.?-:5346[]7"</v>
      </c>
      <c r="C28" s="322"/>
      <c r="D28" s="322"/>
      <c r="E28" s="322"/>
      <c r="F28" s="322"/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  <c r="AC28" s="322"/>
      <c r="AD28" s="322"/>
      <c r="AE28" s="322"/>
      <c r="AF28" s="322"/>
      <c r="AG28" s="322"/>
      <c r="AH28" s="322"/>
      <c r="AI28" s="322"/>
      <c r="AJ28" s="322"/>
      <c r="AK28" s="27"/>
      <c r="AL28" s="27"/>
      <c r="AM28" s="27"/>
      <c r="AN28" s="27"/>
      <c r="AO28" s="27"/>
      <c r="AP28" s="27"/>
      <c r="AQ28" s="27"/>
      <c r="AR28" s="20"/>
      <c r="AS28" s="20"/>
      <c r="AT28" s="27"/>
      <c r="AU28" s="27"/>
      <c r="AV28" s="27"/>
      <c r="AW28" s="14"/>
      <c r="AX28" s="14"/>
      <c r="AY28" s="14"/>
      <c r="AZ28" s="14"/>
      <c r="BA28" s="14"/>
      <c r="BB28" s="14"/>
      <c r="BJ28" s="61"/>
      <c r="BK28" s="61"/>
      <c r="BL28" s="61"/>
      <c r="BM28" s="14"/>
      <c r="BN28" s="39">
        <f t="shared" si="1"/>
        <v>24</v>
      </c>
      <c r="BO28" s="354" t="str" cm="1">
        <f t="array" ref="BO28" xml:space="preserve"> INDEX(_xlfn.ANCHORARRAY($D$17), 1, $BN28)</f>
        <v>w</v>
      </c>
      <c r="BP28" s="351" t="str" cm="1">
        <f t="array" ref="BP28" xml:space="preserve"> INDEX(_xlfn.ANCHORARRAY($D$18), 1, $BN28)</f>
        <v>K</v>
      </c>
      <c r="BQ28" s="269" t="str" cm="1">
        <f t="array" ref="BQ28" xml:space="preserve"> INDEX(_xlfn.ANCHORARRAY($D$19), 1, $BN28)</f>
        <v>ㆨ</v>
      </c>
      <c r="BR28" s="355" t="str" cm="1">
        <f t="array" ref="BR28" xml:space="preserve"> INDEX(_xlfn.ANCHORARRAY($D$20), 1, $BN28)</f>
        <v>eu</v>
      </c>
      <c r="BS28" s="356" t="str" cm="1">
        <f t="array" ref="BS28" xml:space="preserve"> INDEX(注音編碼對照表[聲韻調], MATCH(TRUE, EXACT($BP28, 注音編碼對照表[鍵盤按鍵]), 0))</f>
        <v>韻</v>
      </c>
      <c r="BT28" s="357">
        <f t="shared" si="2"/>
        <v>2</v>
      </c>
      <c r="BV28" s="123" t="str">
        <f t="shared" si="3"/>
        <v xml:space="preserve">    "K": { commit: "ㆨ" }  # /eu/ ==&gt; w</v>
      </c>
      <c r="BW28" s="40"/>
      <c r="BX28" s="39">
        <f t="shared" si="4"/>
        <v>24</v>
      </c>
      <c r="BY28" s="332" t="str">
        <v>N</v>
      </c>
      <c r="BZ28" s="271" t="str">
        <v>p</v>
      </c>
      <c r="CA28" s="269" t="str">
        <v>ㄣ</v>
      </c>
      <c r="CB28" s="10" t="str">
        <v>n</v>
      </c>
      <c r="CC28" s="270" t="str">
        <v>韻</v>
      </c>
      <c r="CD28" s="272">
        <v>1</v>
      </c>
      <c r="CF28" s="242"/>
      <c r="CG28" s="39">
        <f t="shared" si="5"/>
        <v>24</v>
      </c>
      <c r="CH28" s="332"/>
      <c r="CI28" s="271"/>
      <c r="CJ28" s="269"/>
      <c r="CK28" s="10"/>
      <c r="CL28" s="270"/>
      <c r="CM28" s="272"/>
      <c r="CO28" s="242"/>
      <c r="CP28" s="39">
        <f t="shared" si="7"/>
        <v>24</v>
      </c>
      <c r="CQ28" s="332"/>
      <c r="CR28" s="271"/>
      <c r="CS28" s="269"/>
      <c r="CT28" s="10"/>
      <c r="CU28" s="270"/>
      <c r="CV28" s="272"/>
      <c r="CX28" s="377" t="str">
        <f t="shared" si="8"/>
        <v/>
      </c>
      <c r="CY28" s="39">
        <f t="shared" si="9"/>
        <v>24</v>
      </c>
      <c r="CZ28" s="332"/>
      <c r="DA28" s="271"/>
      <c r="DB28" s="269"/>
      <c r="DC28" s="10"/>
      <c r="DD28" s="270"/>
      <c r="DE28" s="272"/>
      <c r="DG28" s="242"/>
    </row>
    <row r="29" spans="1:111" s="18" customFormat="1" ht="45" customHeight="1" outlineLevel="1">
      <c r="B29" s="321" t="str">
        <f>_xlfn.CONCAT("  initials: """,D18:AZ18,BI18:BK18,"""")</f>
        <v xml:space="preserve">  initials: "a!1qs2wxNEedYyhnRrfvc8uKj,ik9l*UJ&lt;I(Lmp/M0;Oobtgz.?-"</v>
      </c>
      <c r="C29" s="323"/>
      <c r="D29" s="324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  <c r="W29" s="325"/>
      <c r="X29" s="325"/>
      <c r="Y29" s="325"/>
      <c r="Z29" s="325"/>
      <c r="AA29" s="325"/>
      <c r="AB29" s="325"/>
      <c r="AC29" s="325"/>
      <c r="AD29" s="325"/>
      <c r="AE29" s="325"/>
      <c r="AF29" s="325"/>
      <c r="AG29" s="325"/>
      <c r="AH29" s="325"/>
      <c r="AI29" s="325"/>
      <c r="AJ29" s="325"/>
      <c r="AK29" s="61"/>
      <c r="AL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14"/>
      <c r="BN29" s="39">
        <f t="shared" si="1"/>
        <v>25</v>
      </c>
      <c r="BO29" s="354" t="str" cm="1">
        <f t="array" ref="BO29" xml:space="preserve"> INDEX(_xlfn.ANCHORARRAY($D$17), 1, $BN29)</f>
        <v>u</v>
      </c>
      <c r="BP29" s="351" t="str" cm="1">
        <f t="array" ref="BP29" xml:space="preserve"> INDEX(_xlfn.ANCHORARRAY($D$18), 1, $BN29)</f>
        <v>j</v>
      </c>
      <c r="BQ29" s="269" t="str" cm="1">
        <f t="array" ref="BQ29" xml:space="preserve"> INDEX(_xlfn.ANCHORARRAY($D$19), 1, $BN29)</f>
        <v>ㄨ</v>
      </c>
      <c r="BR29" s="355" t="str" cm="1">
        <f t="array" ref="BR29" xml:space="preserve"> INDEX(_xlfn.ANCHORARRAY($D$20), 1, $BN29)</f>
        <v>u</v>
      </c>
      <c r="BS29" s="356" t="str" cm="1">
        <f t="array" ref="BS29" xml:space="preserve"> INDEX(注音編碼對照表[聲韻調], MATCH(TRUE, EXACT($BP29, 注音編碼對照表[鍵盤按鍵]), 0))</f>
        <v>韻</v>
      </c>
      <c r="BT29" s="357">
        <f t="shared" si="2"/>
        <v>1</v>
      </c>
      <c r="BV29" s="123" t="str">
        <f t="shared" si="3"/>
        <v xml:space="preserve">    "j": { commit: "ㄨ" }  # /u/ ==&gt; u</v>
      </c>
      <c r="BW29" s="40"/>
      <c r="BX29" s="39">
        <f t="shared" si="4"/>
        <v>25</v>
      </c>
      <c r="BY29" s="332"/>
      <c r="BZ29" s="271"/>
      <c r="CA29" s="269"/>
      <c r="CB29" s="10"/>
      <c r="CC29" s="270"/>
      <c r="CD29" s="272"/>
      <c r="CF29" s="242"/>
      <c r="CG29" s="39">
        <f t="shared" si="5"/>
        <v>25</v>
      </c>
      <c r="CH29" s="332"/>
      <c r="CI29" s="271"/>
      <c r="CJ29" s="269"/>
      <c r="CK29" s="10"/>
      <c r="CL29" s="270"/>
      <c r="CM29" s="272"/>
      <c r="CO29" s="242"/>
      <c r="CP29" s="39">
        <f t="shared" si="7"/>
        <v>25</v>
      </c>
      <c r="CQ29" s="332"/>
      <c r="CR29" s="271"/>
      <c r="CS29" s="269"/>
      <c r="CT29" s="10"/>
      <c r="CU29" s="270"/>
      <c r="CV29" s="272"/>
      <c r="CX29" s="377" t="str">
        <f t="shared" si="8"/>
        <v/>
      </c>
      <c r="CY29" s="39">
        <f t="shared" si="9"/>
        <v>25</v>
      </c>
      <c r="CZ29" s="332"/>
      <c r="DA29" s="271"/>
      <c r="DB29" s="269"/>
      <c r="DC29" s="10"/>
      <c r="DD29" s="270"/>
      <c r="DE29" s="272"/>
      <c r="DG29" s="242"/>
    </row>
    <row r="30" spans="1:111" s="71" customFormat="1" ht="45" customHeight="1" outlineLevel="1">
      <c r="A30" s="18"/>
      <c r="B30" s="321" t="str">
        <f>_xlfn.CONCAT("  finals: """,BA18:BH18,"""")</f>
        <v xml:space="preserve">  finals: ":5346[]7"</v>
      </c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255"/>
      <c r="AL30" s="255"/>
      <c r="AM30" s="255"/>
      <c r="AN30" s="255"/>
      <c r="AO30" s="255"/>
      <c r="AP30" s="255"/>
      <c r="AQ30" s="255"/>
      <c r="AR30" s="256"/>
      <c r="AS30" s="256"/>
      <c r="AT30" s="255"/>
      <c r="AU30" s="255"/>
      <c r="AV30" s="255"/>
      <c r="AW30" s="257"/>
      <c r="AX30" s="257"/>
      <c r="AY30" s="257"/>
      <c r="AZ30" s="257"/>
      <c r="BA30" s="257"/>
      <c r="BB30" s="257"/>
      <c r="BC30" s="258"/>
      <c r="BD30" s="258"/>
      <c r="BE30" s="258"/>
      <c r="BF30" s="258"/>
      <c r="BG30" s="258"/>
      <c r="BH30" s="258"/>
      <c r="BI30" s="258"/>
      <c r="BJ30" s="259"/>
      <c r="BK30" s="259"/>
      <c r="BL30" s="61"/>
      <c r="BM30" s="18"/>
      <c r="BN30" s="39">
        <f t="shared" si="1"/>
        <v>26</v>
      </c>
      <c r="BO30" s="354" t="str" cm="1">
        <f t="array" ref="BO30" xml:space="preserve"> INDEX(_xlfn.ANCHORARRAY($D$17), 1, $BN30)</f>
        <v>e</v>
      </c>
      <c r="BP30" s="351" t="str" cm="1">
        <f t="array" ref="BP30" xml:space="preserve"> INDEX(_xlfn.ANCHORARRAY($D$18), 1, $BN30)</f>
        <v>,</v>
      </c>
      <c r="BQ30" s="269" t="str" cm="1">
        <f t="array" ref="BQ30" xml:space="preserve"> INDEX(_xlfn.ANCHORARRAY($D$19), 1, $BN30)</f>
        <v>ㆤ</v>
      </c>
      <c r="BR30" s="355" t="str" cm="1">
        <f t="array" ref="BR30" xml:space="preserve"> INDEX(_xlfn.ANCHORARRAY($D$20), 1, $BN30)</f>
        <v>e</v>
      </c>
      <c r="BS30" s="356" t="str" cm="1">
        <f t="array" ref="BS30" xml:space="preserve"> INDEX(注音編碼對照表[聲韻調], MATCH(TRUE, EXACT($BP30, 注音編碼對照表[鍵盤按鍵]), 0))</f>
        <v>韻</v>
      </c>
      <c r="BT30" s="357">
        <f t="shared" si="2"/>
        <v>1</v>
      </c>
      <c r="BU30" s="18"/>
      <c r="BV30" s="123" t="str">
        <f t="shared" si="3"/>
        <v xml:space="preserve">    ",": { commit: "ㆤ" }  # /e/ ==&gt; e</v>
      </c>
      <c r="BW30" s="40"/>
      <c r="BX30" s="39">
        <f t="shared" si="4"/>
        <v>26</v>
      </c>
      <c r="BY30" s="332"/>
      <c r="BZ30" s="271"/>
      <c r="CA30" s="269"/>
      <c r="CB30" s="10"/>
      <c r="CC30" s="270"/>
      <c r="CD30" s="272"/>
      <c r="CE30" s="18"/>
      <c r="CF30" s="242"/>
      <c r="CG30" s="39">
        <f t="shared" si="5"/>
        <v>26</v>
      </c>
      <c r="CH30" s="332"/>
      <c r="CI30" s="271"/>
      <c r="CJ30" s="269"/>
      <c r="CK30" s="10"/>
      <c r="CL30" s="270"/>
      <c r="CM30" s="272"/>
      <c r="CN30" s="18"/>
      <c r="CO30" s="242"/>
      <c r="CP30" s="39">
        <f t="shared" si="7"/>
        <v>26</v>
      </c>
      <c r="CQ30" s="332"/>
      <c r="CR30" s="271"/>
      <c r="CS30" s="269"/>
      <c r="CT30" s="10"/>
      <c r="CU30" s="270"/>
      <c r="CV30" s="272"/>
      <c r="CW30" s="18"/>
      <c r="CX30" s="377" t="str">
        <f t="shared" si="8"/>
        <v/>
      </c>
      <c r="CY30" s="39">
        <f t="shared" si="9"/>
        <v>26</v>
      </c>
      <c r="CZ30" s="332"/>
      <c r="DA30" s="271"/>
      <c r="DB30" s="269"/>
      <c r="DC30" s="10"/>
      <c r="DD30" s="270"/>
      <c r="DE30" s="272"/>
      <c r="DF30" s="18"/>
      <c r="DG30" s="242"/>
    </row>
    <row r="31" spans="1:111" s="18" customFormat="1" ht="45" customHeight="1" outlineLevel="1">
      <c r="AK31" s="27"/>
      <c r="AL31" s="27"/>
      <c r="AM31" s="27"/>
      <c r="AN31" s="27"/>
      <c r="AO31" s="27"/>
      <c r="AP31" s="27"/>
      <c r="AQ31" s="27"/>
      <c r="AR31" s="20"/>
      <c r="AS31" s="20"/>
      <c r="AT31" s="27"/>
      <c r="AU31" s="27"/>
      <c r="AV31" s="27"/>
      <c r="AW31" s="14"/>
      <c r="AX31" s="14"/>
      <c r="AY31" s="14"/>
      <c r="AZ31" s="14"/>
      <c r="BA31" s="14"/>
      <c r="BB31" s="14"/>
      <c r="BJ31" s="61"/>
      <c r="BK31" s="61"/>
      <c r="BL31" s="61"/>
      <c r="BN31" s="39">
        <f t="shared" si="1"/>
        <v>27</v>
      </c>
      <c r="BO31" s="354" t="str" cm="1">
        <f t="array" ref="BO31" xml:space="preserve"> INDEX(_xlfn.ANCHORARRAY($D$17), 1, $BN31)</f>
        <v>O</v>
      </c>
      <c r="BP31" s="351" t="str" cm="1">
        <f t="array" ref="BP31" xml:space="preserve"> INDEX(_xlfn.ANCHORARRAY($D$18), 1, $BN31)</f>
        <v>i</v>
      </c>
      <c r="BQ31" s="269" t="str" cm="1">
        <f t="array" ref="BQ31" xml:space="preserve"> INDEX(_xlfn.ANCHORARRAY($D$19), 1, $BN31)</f>
        <v>ㆦ</v>
      </c>
      <c r="BR31" s="355" t="str" cm="1">
        <f t="array" ref="BR31" xml:space="preserve"> INDEX(_xlfn.ANCHORARRAY($D$20), 1, $BN31)</f>
        <v>oo</v>
      </c>
      <c r="BS31" s="356" t="str" cm="1">
        <f t="array" ref="BS31" xml:space="preserve"> INDEX(注音編碼對照表[聲韻調], MATCH(TRUE, EXACT($BP31, 注音編碼對照表[鍵盤按鍵]), 0))</f>
        <v>韻</v>
      </c>
      <c r="BT31" s="357">
        <f t="shared" si="2"/>
        <v>2</v>
      </c>
      <c r="BV31" s="123" t="str">
        <f t="shared" si="3"/>
        <v xml:space="preserve">    "i": { commit: "ㆦ" }  # /oo/ ==&gt; O</v>
      </c>
      <c r="BW31" s="40"/>
      <c r="BX31" s="39">
        <f t="shared" si="4"/>
        <v>27</v>
      </c>
      <c r="BY31" s="332"/>
      <c r="BZ31" s="271"/>
      <c r="CA31" s="269"/>
      <c r="CB31" s="10"/>
      <c r="CC31" s="270"/>
      <c r="CD31" s="272"/>
      <c r="CE31" s="71"/>
      <c r="CF31" s="242"/>
      <c r="CG31" s="39">
        <f t="shared" si="5"/>
        <v>27</v>
      </c>
      <c r="CH31" s="332"/>
      <c r="CI31" s="271"/>
      <c r="CJ31" s="269"/>
      <c r="CK31" s="10"/>
      <c r="CL31" s="270"/>
      <c r="CM31" s="272"/>
      <c r="CN31" s="71"/>
      <c r="CO31" s="242"/>
      <c r="CP31" s="39">
        <f t="shared" si="7"/>
        <v>27</v>
      </c>
      <c r="CQ31" s="332"/>
      <c r="CR31" s="271"/>
      <c r="CS31" s="269"/>
      <c r="CT31" s="10"/>
      <c r="CU31" s="270"/>
      <c r="CV31" s="272"/>
      <c r="CW31" s="71"/>
      <c r="CX31" s="377" t="str">
        <f t="shared" si="8"/>
        <v/>
      </c>
      <c r="CY31" s="39">
        <f t="shared" si="9"/>
        <v>27</v>
      </c>
      <c r="CZ31" s="332"/>
      <c r="DA31" s="271"/>
      <c r="DB31" s="269"/>
      <c r="DC31" s="10"/>
      <c r="DD31" s="270"/>
      <c r="DE31" s="272"/>
      <c r="DF31" s="71"/>
      <c r="DG31" s="242"/>
    </row>
    <row r="32" spans="1:111" s="18" customFormat="1" ht="45" customHeight="1" outlineLevel="1">
      <c r="AF32" s="344" t="str">
        <f>_xlfn.CONCAT(D17:X17)</f>
        <v>mBbpndtlŋvgkZzcsJjCSh</v>
      </c>
      <c r="AK32" s="27"/>
      <c r="AL32" s="27"/>
      <c r="AM32" s="27"/>
      <c r="AN32" s="27"/>
      <c r="AO32" s="27"/>
      <c r="AP32" s="27"/>
      <c r="AQ32" s="27"/>
      <c r="AR32" s="20"/>
      <c r="AS32" s="20"/>
      <c r="AT32" s="27"/>
      <c r="AU32" s="27"/>
      <c r="AV32" s="27"/>
      <c r="AW32" s="14"/>
      <c r="AX32" s="14"/>
      <c r="AY32" s="14"/>
      <c r="AZ32" s="14"/>
      <c r="BA32" s="14"/>
      <c r="BB32" s="14"/>
      <c r="BJ32" s="61"/>
      <c r="BK32" s="61"/>
      <c r="BL32" s="61"/>
      <c r="BN32" s="39">
        <f t="shared" si="1"/>
        <v>28</v>
      </c>
      <c r="BO32" s="354" t="str" cm="1">
        <f t="array" ref="BO32" xml:space="preserve"> INDEX(_xlfn.ANCHORARRAY($D$17), 1, $BN32)</f>
        <v>o</v>
      </c>
      <c r="BP32" s="351" t="str" cm="1">
        <f t="array" ref="BP32" xml:space="preserve"> INDEX(_xlfn.ANCHORARRAY($D$18), 1, $BN32)</f>
        <v>k</v>
      </c>
      <c r="BQ32" s="269" t="str" cm="1">
        <f t="array" ref="BQ32" xml:space="preserve"> INDEX(_xlfn.ANCHORARRAY($D$19), 1, $BN32)</f>
        <v>ㄜ</v>
      </c>
      <c r="BR32" s="355" t="str" cm="1">
        <f t="array" ref="BR32" xml:space="preserve"> INDEX(_xlfn.ANCHORARRAY($D$20), 1, $BN32)</f>
        <v>o</v>
      </c>
      <c r="BS32" s="356" t="str" cm="1">
        <f t="array" ref="BS32" xml:space="preserve"> INDEX(注音編碼對照表[聲韻調], MATCH(TRUE, EXACT($BP32, 注音編碼對照表[鍵盤按鍵]), 0))</f>
        <v>韻</v>
      </c>
      <c r="BT32" s="357">
        <f t="shared" si="2"/>
        <v>1</v>
      </c>
      <c r="BV32" s="123" t="str">
        <f t="shared" si="3"/>
        <v xml:space="preserve">    "k": { commit: "ㄜ" }  # /o/ ==&gt; o</v>
      </c>
      <c r="BW32" s="40"/>
      <c r="BX32" s="39">
        <f t="shared" si="4"/>
        <v>28</v>
      </c>
      <c r="BY32" s="332"/>
      <c r="BZ32" s="271"/>
      <c r="CA32" s="269"/>
      <c r="CB32" s="10"/>
      <c r="CC32" s="270"/>
      <c r="CD32" s="272"/>
      <c r="CE32" s="71"/>
      <c r="CF32" s="242"/>
      <c r="CG32" s="39">
        <f t="shared" si="5"/>
        <v>28</v>
      </c>
      <c r="CH32" s="332"/>
      <c r="CI32" s="271"/>
      <c r="CJ32" s="269"/>
      <c r="CK32" s="10"/>
      <c r="CL32" s="270"/>
      <c r="CM32" s="272"/>
      <c r="CN32" s="71"/>
      <c r="CO32" s="242"/>
      <c r="CP32" s="39">
        <f t="shared" si="7"/>
        <v>28</v>
      </c>
      <c r="CQ32" s="332"/>
      <c r="CR32" s="271"/>
      <c r="CS32" s="269"/>
      <c r="CT32" s="10"/>
      <c r="CU32" s="270"/>
      <c r="CV32" s="272"/>
      <c r="CW32" s="71"/>
      <c r="CX32" s="242"/>
      <c r="CY32" s="39">
        <f t="shared" si="9"/>
        <v>28</v>
      </c>
      <c r="CZ32" s="332"/>
      <c r="DA32" s="271"/>
      <c r="DB32" s="269"/>
      <c r="DC32" s="10"/>
      <c r="DD32" s="270"/>
      <c r="DE32" s="272"/>
      <c r="DF32" s="71"/>
      <c r="DG32" s="242"/>
    </row>
    <row r="33" spans="1:111" s="18" customFormat="1" ht="45" customHeight="1">
      <c r="B33" s="62" t="s">
        <v>297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K33" s="27"/>
      <c r="AL33" s="27"/>
      <c r="AM33" s="27"/>
      <c r="AN33" s="27"/>
      <c r="AO33" s="27"/>
      <c r="AP33" s="27"/>
      <c r="AQ33" s="27"/>
      <c r="AR33" s="20"/>
      <c r="AS33" s="20"/>
      <c r="AT33" s="27"/>
      <c r="AU33" s="27"/>
      <c r="AV33" s="27"/>
      <c r="AW33" s="14"/>
      <c r="AX33" s="14"/>
      <c r="AY33" s="14"/>
      <c r="AZ33" s="14"/>
      <c r="BA33" s="14"/>
      <c r="BB33" s="14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N33" s="39">
        <f t="shared" si="1"/>
        <v>29</v>
      </c>
      <c r="BO33" s="354" t="str" cm="1">
        <f t="array" ref="BO33" xml:space="preserve"> INDEX(_xlfn.ANCHORARRAY($D$17), 1, $BN33)</f>
        <v>I</v>
      </c>
      <c r="BP33" s="351" t="str" cm="1">
        <f t="array" ref="BP33" xml:space="preserve"> INDEX(_xlfn.ANCHORARRAY($D$18), 1, $BN33)</f>
        <v>9</v>
      </c>
      <c r="BQ33" s="269" t="str" cm="1">
        <f t="array" ref="BQ33" xml:space="preserve"> INDEX(_xlfn.ANCHORARRAY($D$19), 1, $BN33)</f>
        <v>ㄞ</v>
      </c>
      <c r="BR33" s="355" t="str" cm="1">
        <f t="array" ref="BR33" xml:space="preserve"> INDEX(_xlfn.ANCHORARRAY($D$20), 1, $BN33)</f>
        <v>ai</v>
      </c>
      <c r="BS33" s="356" t="str" cm="1">
        <f t="array" ref="BS33" xml:space="preserve"> INDEX(注音編碼對照表[聲韻調], MATCH(TRUE, EXACT($BP33, 注音編碼對照表[鍵盤按鍵]), 0))</f>
        <v>韻</v>
      </c>
      <c r="BT33" s="357">
        <f t="shared" si="2"/>
        <v>2</v>
      </c>
      <c r="BV33" s="123" t="str">
        <f t="shared" si="3"/>
        <v xml:space="preserve">    "9": { commit: "ㄞ" }  # /ai/ ==&gt; I</v>
      </c>
      <c r="BW33" s="40"/>
      <c r="BX33" s="39">
        <f t="shared" si="4"/>
        <v>29</v>
      </c>
      <c r="BY33" s="332"/>
      <c r="BZ33" s="271"/>
      <c r="CA33" s="269"/>
      <c r="CB33" s="10"/>
      <c r="CC33" s="270"/>
      <c r="CD33" s="272"/>
      <c r="CF33" s="242"/>
      <c r="CG33" s="39">
        <f t="shared" si="5"/>
        <v>29</v>
      </c>
      <c r="CH33" s="332"/>
      <c r="CI33" s="271"/>
      <c r="CJ33" s="269"/>
      <c r="CK33" s="10"/>
      <c r="CL33" s="270"/>
      <c r="CM33" s="272"/>
      <c r="CO33" s="242"/>
      <c r="CP33" s="39">
        <f t="shared" si="7"/>
        <v>29</v>
      </c>
      <c r="CQ33" s="332"/>
      <c r="CR33" s="271"/>
      <c r="CS33" s="269"/>
      <c r="CT33" s="10"/>
      <c r="CU33" s="270"/>
      <c r="CV33" s="272"/>
      <c r="CX33" s="242" t="str">
        <f t="shared" ref="CX33:CX56" si="39" xml:space="preserve"> IF(CU33=0, "", "    - xform/^" &amp; CU33 &amp; "(?!\d)/" &amp; CT33 &amp; "/  # " &amp; CQ33 &amp; " [ " &amp; CU33 &amp; "]")</f>
        <v/>
      </c>
      <c r="CY33" s="39">
        <f t="shared" si="9"/>
        <v>29</v>
      </c>
      <c r="CZ33" s="332"/>
      <c r="DA33" s="271"/>
      <c r="DB33" s="269"/>
      <c r="DC33" s="10"/>
      <c r="DD33" s="270"/>
      <c r="DE33" s="272"/>
      <c r="DG33" s="242"/>
    </row>
    <row r="34" spans="1:111" s="18" customFormat="1" ht="45" customHeight="1">
      <c r="A34" s="71"/>
      <c r="B34" s="64" t="s">
        <v>298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5"/>
      <c r="U34" s="64"/>
      <c r="V34" s="64"/>
      <c r="W34" s="64"/>
      <c r="X34" s="64"/>
      <c r="Y34" s="64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82"/>
      <c r="BN34" s="39">
        <f t="shared" si="1"/>
        <v>30</v>
      </c>
      <c r="BO34" s="354" t="str" cm="1">
        <f t="array" ref="BO34" xml:space="preserve"> INDEX(_xlfn.ANCHORARRAY($D$17), 1, $BN34)</f>
        <v>U</v>
      </c>
      <c r="BP34" s="351" t="str" cm="1">
        <f t="array" ref="BP34" xml:space="preserve"> INDEX(_xlfn.ANCHORARRAY($D$18), 1, $BN34)</f>
        <v>l</v>
      </c>
      <c r="BQ34" s="269" t="str" cm="1">
        <f t="array" ref="BQ34" xml:space="preserve"> INDEX(_xlfn.ANCHORARRAY($D$19), 1, $BN34)</f>
        <v>ㄠ</v>
      </c>
      <c r="BR34" s="355" t="str" cm="1">
        <f t="array" ref="BR34" xml:space="preserve"> INDEX(_xlfn.ANCHORARRAY($D$20), 1, $BN34)</f>
        <v>au</v>
      </c>
      <c r="BS34" s="356" t="str" cm="1">
        <f t="array" ref="BS34" xml:space="preserve"> INDEX(注音編碼對照表[聲韻調], MATCH(TRUE, EXACT($BP34, 注音編碼對照表[鍵盤按鍵]), 0))</f>
        <v>韻</v>
      </c>
      <c r="BT34" s="357">
        <f t="shared" si="2"/>
        <v>2</v>
      </c>
      <c r="BV34" s="123" t="str">
        <f t="shared" si="3"/>
        <v xml:space="preserve">    "l": { commit: "ㄠ" }  # /au/ ==&gt; U</v>
      </c>
      <c r="BW34" s="40"/>
      <c r="BX34" s="39">
        <f t="shared" si="4"/>
        <v>30</v>
      </c>
      <c r="BY34" s="332"/>
      <c r="BZ34" s="271"/>
      <c r="CA34" s="269"/>
      <c r="CB34" s="10"/>
      <c r="CC34" s="270"/>
      <c r="CD34" s="272"/>
      <c r="CF34" s="242"/>
      <c r="CG34" s="39">
        <f t="shared" si="5"/>
        <v>30</v>
      </c>
      <c r="CH34" s="332"/>
      <c r="CI34" s="271"/>
      <c r="CJ34" s="269"/>
      <c r="CK34" s="10"/>
      <c r="CL34" s="270"/>
      <c r="CM34" s="272"/>
      <c r="CO34" s="242"/>
      <c r="CP34" s="39">
        <f t="shared" si="7"/>
        <v>30</v>
      </c>
      <c r="CQ34" s="332"/>
      <c r="CR34" s="271"/>
      <c r="CS34" s="269"/>
      <c r="CT34" s="10"/>
      <c r="CU34" s="270"/>
      <c r="CV34" s="272"/>
      <c r="CX34" s="242" t="str">
        <f t="shared" si="39"/>
        <v/>
      </c>
      <c r="CY34" s="39">
        <f t="shared" si="9"/>
        <v>30</v>
      </c>
      <c r="CZ34" s="332"/>
      <c r="DA34" s="271"/>
      <c r="DB34" s="269"/>
      <c r="DC34" s="10"/>
      <c r="DD34" s="270"/>
      <c r="DE34" s="272"/>
      <c r="DG34" s="242"/>
    </row>
    <row r="35" spans="1:111" s="18" customFormat="1" ht="45" customHeight="1">
      <c r="A35" s="27"/>
      <c r="B35" s="66" t="s">
        <v>1</v>
      </c>
      <c r="C35" s="67"/>
      <c r="D35" s="68">
        <f xml:space="preserve"> LEN(E35)</f>
        <v>60</v>
      </c>
      <c r="E35" s="329" t="str">
        <f xml:space="preserve"> _xlfn.CONCAT(D17:BK17)</f>
        <v>mBbpndtlŋvgkZzcsJjCShaiwueOoIURDXEQxyMNGY@AWHPTKV16532780&amp;L*</v>
      </c>
      <c r="F35" s="326"/>
      <c r="G35" s="326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E35" s="18">
        <f xml:space="preserve"> LEN(AF35)</f>
        <v>49</v>
      </c>
      <c r="AF35" s="329" t="str">
        <f>_xlfn.CONCAT(D17:AZ17)</f>
        <v>mBbpndtlŋvgkZzcsJjCShaiwueOoIURDXEQxyMNGY@AWHPTKV</v>
      </c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26"/>
      <c r="AU35" s="326"/>
      <c r="AV35" s="326"/>
      <c r="AW35" s="326"/>
      <c r="AX35" s="326"/>
      <c r="AY35" s="326"/>
      <c r="AZ35" s="326"/>
      <c r="BA35" s="326"/>
      <c r="BB35" s="326"/>
      <c r="BD35" s="18">
        <f xml:space="preserve"> LEN(BE35)</f>
        <v>8</v>
      </c>
      <c r="BE35" s="329" t="str">
        <f>_xlfn.CONCAT(BA17:BH17)</f>
        <v>16532780</v>
      </c>
      <c r="BF35" s="326"/>
      <c r="BG35" s="329"/>
      <c r="BH35" s="326"/>
      <c r="BI35" s="329"/>
      <c r="BJ35" s="326"/>
      <c r="BK35" s="329"/>
      <c r="BL35" s="82"/>
      <c r="BN35" s="39">
        <f t="shared" si="1"/>
        <v>31</v>
      </c>
      <c r="BO35" s="354" t="str" cm="1">
        <f t="array" ref="BO35" xml:space="preserve"> INDEX(_xlfn.ANCHORARRAY($D$17), 1, $BN35)</f>
        <v>R</v>
      </c>
      <c r="BP35" s="351" t="str" cm="1">
        <f t="array" ref="BP35" xml:space="preserve"> INDEX(_xlfn.ANCHORARRAY($D$18), 1, $BN35)</f>
        <v>*</v>
      </c>
      <c r="BQ35" s="269" t="str" cm="1">
        <f t="array" ref="BQ35" xml:space="preserve"> INDEX(_xlfn.ANCHORARRAY($D$19), 1, $BN35)</f>
        <v>ㆩ</v>
      </c>
      <c r="BR35" s="355" t="str" cm="1">
        <f t="array" ref="BR35" xml:space="preserve"> INDEX(_xlfn.ANCHORARRAY($D$20), 1, $BN35)</f>
        <v>na</v>
      </c>
      <c r="BS35" s="356" t="str" cm="1">
        <f t="array" ref="BS35" xml:space="preserve"> INDEX(注音編碼對照表[聲韻調], MATCH(TRUE, EXACT($BP35, 注音編碼對照表[鍵盤按鍵]), 0))</f>
        <v>韻</v>
      </c>
      <c r="BT35" s="357">
        <f t="shared" si="2"/>
        <v>2</v>
      </c>
      <c r="BV35" s="123" t="str">
        <f t="shared" si="3"/>
        <v xml:space="preserve">    "*": { commit: "ㆩ" }  # /na/ ==&gt; R</v>
      </c>
      <c r="BW35" s="40"/>
      <c r="BX35" s="39">
        <f t="shared" si="4"/>
        <v>31</v>
      </c>
      <c r="BY35" s="332"/>
      <c r="BZ35" s="271"/>
      <c r="CA35" s="269"/>
      <c r="CB35" s="10"/>
      <c r="CC35" s="270"/>
      <c r="CD35" s="272"/>
      <c r="CF35" s="242"/>
      <c r="CG35" s="39">
        <f t="shared" si="5"/>
        <v>31</v>
      </c>
      <c r="CH35" s="332"/>
      <c r="CI35" s="271"/>
      <c r="CJ35" s="269"/>
      <c r="CK35" s="10"/>
      <c r="CL35" s="270"/>
      <c r="CM35" s="272"/>
      <c r="CO35" s="242"/>
      <c r="CP35" s="39">
        <f t="shared" si="7"/>
        <v>31</v>
      </c>
      <c r="CQ35" s="332"/>
      <c r="CR35" s="271"/>
      <c r="CS35" s="269"/>
      <c r="CT35" s="10"/>
      <c r="CU35" s="270"/>
      <c r="CV35" s="272"/>
      <c r="CX35" s="242" t="str">
        <f t="shared" si="39"/>
        <v/>
      </c>
      <c r="CY35" s="39">
        <f t="shared" si="9"/>
        <v>31</v>
      </c>
      <c r="CZ35" s="332"/>
      <c r="DA35" s="271"/>
      <c r="DB35" s="269"/>
      <c r="DC35" s="10"/>
      <c r="DD35" s="270"/>
      <c r="DE35" s="272"/>
      <c r="DG35" s="242"/>
    </row>
    <row r="36" spans="1:111" s="18" customFormat="1" ht="45" customHeight="1">
      <c r="B36" s="264" t="s">
        <v>3</v>
      </c>
      <c r="C36" s="69"/>
      <c r="D36" s="70">
        <f xml:space="preserve"> LEN(E36)</f>
        <v>60</v>
      </c>
      <c r="E36" s="330" t="str">
        <f xml:space="preserve"> _xlfn.CONCAT(D18:BK18)</f>
        <v>a!1qs2wxNEedYyhnRrfvc8uKj,ik9l*UJ&lt;I(Lmp/M0;Oobtgz:5346[]7.?-</v>
      </c>
      <c r="F36" s="327"/>
      <c r="G36" s="327"/>
      <c r="H36" s="327"/>
      <c r="I36" s="327"/>
      <c r="J36" s="327"/>
      <c r="K36" s="327"/>
      <c r="L36" s="327"/>
      <c r="M36" s="327"/>
      <c r="N36" s="327"/>
      <c r="O36" s="327"/>
      <c r="P36" s="327"/>
      <c r="Q36" s="327"/>
      <c r="R36" s="327"/>
      <c r="S36" s="327"/>
      <c r="T36" s="327"/>
      <c r="U36" s="327"/>
      <c r="V36" s="327"/>
      <c r="W36" s="327"/>
      <c r="X36" s="327"/>
      <c r="Y36" s="327"/>
      <c r="Z36" s="327"/>
      <c r="AA36" s="327"/>
      <c r="AB36" s="327"/>
      <c r="AE36" s="18">
        <f xml:space="preserve"> LEN(AF36)</f>
        <v>49</v>
      </c>
      <c r="AF36" s="330" t="str">
        <f>_xlfn.CONCAT(D18:AZ18)</f>
        <v>a!1qs2wxNEedYyhnRrfvc8uKj,ik9l*UJ&lt;I(Lmp/M0;Oobtgz</v>
      </c>
      <c r="AG36" s="327"/>
      <c r="AH36" s="327"/>
      <c r="AI36" s="327"/>
      <c r="AJ36" s="327"/>
      <c r="AK36" s="327"/>
      <c r="AL36" s="327"/>
      <c r="AM36" s="327"/>
      <c r="AN36" s="327"/>
      <c r="AO36" s="327"/>
      <c r="AP36" s="327"/>
      <c r="AQ36" s="327"/>
      <c r="AR36" s="327"/>
      <c r="AS36" s="327"/>
      <c r="AT36" s="327"/>
      <c r="AU36" s="327"/>
      <c r="AV36" s="327"/>
      <c r="AW36" s="327"/>
      <c r="AX36" s="327"/>
      <c r="AY36" s="327"/>
      <c r="AZ36" s="327"/>
      <c r="BA36" s="327"/>
      <c r="BB36" s="327"/>
      <c r="BD36" s="18">
        <f xml:space="preserve"> LEN(BE36)</f>
        <v>8</v>
      </c>
      <c r="BE36" s="330" t="str">
        <f>_xlfn.CONCAT(BA18:BH18)</f>
        <v>:5346[]7</v>
      </c>
      <c r="BF36" s="327"/>
      <c r="BG36" s="330"/>
      <c r="BH36" s="327"/>
      <c r="BI36" s="330"/>
      <c r="BJ36" s="327"/>
      <c r="BK36" s="330"/>
      <c r="BL36" s="82"/>
      <c r="BN36" s="39">
        <f t="shared" si="1"/>
        <v>32</v>
      </c>
      <c r="BO36" s="354" t="str" cm="1">
        <f t="array" ref="BO36" xml:space="preserve"> INDEX(_xlfn.ANCHORARRAY($D$17), 1, $BN36)</f>
        <v>D</v>
      </c>
      <c r="BP36" s="351" t="str" cm="1">
        <f t="array" ref="BP36" xml:space="preserve"> INDEX(_xlfn.ANCHORARRAY($D$18), 1, $BN36)</f>
        <v>U</v>
      </c>
      <c r="BQ36" s="269" t="str" cm="1">
        <f t="array" ref="BQ36" xml:space="preserve"> INDEX(_xlfn.ANCHORARRAY($D$19), 1, $BN36)</f>
        <v>ㆪ</v>
      </c>
      <c r="BR36" s="355" t="str" cm="1">
        <f t="array" ref="BR36" xml:space="preserve"> INDEX(_xlfn.ANCHORARRAY($D$20), 1, $BN36)</f>
        <v>ni</v>
      </c>
      <c r="BS36" s="356" t="str" cm="1">
        <f t="array" ref="BS36" xml:space="preserve"> INDEX(注音編碼對照表[聲韻調], MATCH(TRUE, EXACT($BP36, 注音編碼對照表[鍵盤按鍵]), 0))</f>
        <v>韻</v>
      </c>
      <c r="BT36" s="357">
        <f t="shared" si="2"/>
        <v>2</v>
      </c>
      <c r="BV36" s="123" t="str">
        <f t="shared" si="3"/>
        <v xml:space="preserve">    "U": { commit: "ㆪ" }  # /ni/ ==&gt; D</v>
      </c>
      <c r="BW36" s="40"/>
      <c r="BX36" s="39">
        <f t="shared" si="4"/>
        <v>32</v>
      </c>
      <c r="BY36" s="332"/>
      <c r="BZ36" s="271"/>
      <c r="CA36" s="269"/>
      <c r="CB36" s="10"/>
      <c r="CC36" s="270"/>
      <c r="CD36" s="272"/>
      <c r="CF36" s="242"/>
      <c r="CG36" s="39">
        <f t="shared" si="5"/>
        <v>32</v>
      </c>
      <c r="CH36" s="332"/>
      <c r="CI36" s="271"/>
      <c r="CJ36" s="269"/>
      <c r="CK36" s="10"/>
      <c r="CL36" s="270"/>
      <c r="CM36" s="272"/>
      <c r="CO36" s="242"/>
      <c r="CP36" s="39">
        <f t="shared" si="7"/>
        <v>32</v>
      </c>
      <c r="CQ36" s="332"/>
      <c r="CR36" s="271"/>
      <c r="CS36" s="269"/>
      <c r="CT36" s="10"/>
      <c r="CU36" s="270"/>
      <c r="CV36" s="272"/>
      <c r="CX36" s="242" t="str">
        <f t="shared" si="39"/>
        <v/>
      </c>
      <c r="CY36" s="39">
        <f t="shared" si="9"/>
        <v>32</v>
      </c>
      <c r="CZ36" s="332"/>
      <c r="DA36" s="271"/>
      <c r="DB36" s="269"/>
      <c r="DC36" s="10"/>
      <c r="DD36" s="270"/>
      <c r="DE36" s="272"/>
      <c r="DG36" s="242"/>
    </row>
    <row r="37" spans="1:111" s="18" customFormat="1" ht="45" customHeight="1">
      <c r="B37" s="72" t="str">
        <f xml:space="preserve"> "    - xlit|" &amp; E35 &amp; "|" &amp; E36 &amp; "|"</f>
        <v xml:space="preserve">    - xlit|mBbpndtlŋvgkZzcsJjCShaiwueOoIURDXEQxyMNGY@AWHPTKV16532780&amp;L*|a!1qs2wxNEedYyhnRrfvc8uKj,ik9l*UJ&lt;I(Lmp/M0;Oobtgz:5346[]7.?-|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E37" s="61"/>
      <c r="AF37" s="81" t="str">
        <f xml:space="preserve"> "    - xlit|" &amp; AF35 &amp; "|" &amp; AF36 &amp; "|"</f>
        <v xml:space="preserve">    - xlit|mBbpndtlŋvgkZzcsJjCShaiwueOoIURDXEQxyMNGY@AWHPTKV|a!1qs2wxNEedYyhnRrfvc8uKj,ik9l*UJ&lt;I(Lmp/M0;Oobtgz|</v>
      </c>
      <c r="AG37" s="328"/>
      <c r="AH37" s="328"/>
      <c r="AI37" s="328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328"/>
      <c r="AV37" s="328"/>
      <c r="AW37" s="328"/>
      <c r="AX37" s="328"/>
      <c r="AY37" s="328"/>
      <c r="AZ37" s="328"/>
      <c r="BA37" s="328"/>
      <c r="BB37" s="328"/>
      <c r="BE37" s="81" t="str">
        <f xml:space="preserve"> "    - xlit|" &amp; BE35 &amp; "|" &amp; BE36 &amp; "|"</f>
        <v xml:space="preserve">    - xlit|16532780|:5346[]7|</v>
      </c>
      <c r="BF37" s="328"/>
      <c r="BG37" s="328"/>
      <c r="BH37" s="328"/>
      <c r="BI37" s="328"/>
      <c r="BJ37" s="328"/>
      <c r="BK37" s="328"/>
      <c r="BL37" s="82"/>
      <c r="BM37" s="14"/>
      <c r="BN37" s="39">
        <f t="shared" si="1"/>
        <v>33</v>
      </c>
      <c r="BO37" s="354" t="str" cm="1">
        <f t="array" ref="BO37" xml:space="preserve"> INDEX(_xlfn.ANCHORARRAY($D$17), 1, $BN37)</f>
        <v>X</v>
      </c>
      <c r="BP37" s="351" t="str" cm="1">
        <f t="array" ref="BP37" xml:space="preserve"> INDEX(_xlfn.ANCHORARRAY($D$18), 1, $BN37)</f>
        <v>J</v>
      </c>
      <c r="BQ37" s="269" t="str" cm="1">
        <f t="array" ref="BQ37" xml:space="preserve"> INDEX(_xlfn.ANCHORARRAY($D$19), 1, $BN37)</f>
        <v>ㆫ</v>
      </c>
      <c r="BR37" s="355" t="str" cm="1">
        <f t="array" ref="BR37" xml:space="preserve"> INDEX(_xlfn.ANCHORARRAY($D$20), 1, $BN37)</f>
        <v>nu</v>
      </c>
      <c r="BS37" s="356" t="str" cm="1">
        <f t="array" ref="BS37" xml:space="preserve"> INDEX(注音編碼對照表[聲韻調], MATCH(TRUE, EXACT($BP37, 注音編碼對照表[鍵盤按鍵]), 0))</f>
        <v>韻</v>
      </c>
      <c r="BT37" s="357">
        <f t="shared" si="2"/>
        <v>2</v>
      </c>
      <c r="BV37" s="123" t="str">
        <f t="shared" si="3"/>
        <v xml:space="preserve">    "J": { commit: "ㆫ" }  # /nu/ ==&gt; X</v>
      </c>
      <c r="BW37" s="40"/>
      <c r="BX37" s="39">
        <f t="shared" si="4"/>
        <v>33</v>
      </c>
      <c r="BY37" s="332"/>
      <c r="BZ37" s="271"/>
      <c r="CA37" s="269"/>
      <c r="CB37" s="10"/>
      <c r="CC37" s="270"/>
      <c r="CD37" s="272"/>
      <c r="CF37" s="242"/>
      <c r="CG37" s="39">
        <f t="shared" si="5"/>
        <v>33</v>
      </c>
      <c r="CH37" s="332"/>
      <c r="CI37" s="271"/>
      <c r="CJ37" s="269"/>
      <c r="CK37" s="10"/>
      <c r="CL37" s="270"/>
      <c r="CM37" s="272"/>
      <c r="CO37" s="242"/>
      <c r="CP37" s="39">
        <f t="shared" si="7"/>
        <v>33</v>
      </c>
      <c r="CQ37" s="332"/>
      <c r="CR37" s="271"/>
      <c r="CS37" s="269"/>
      <c r="CT37" s="10"/>
      <c r="CU37" s="270"/>
      <c r="CV37" s="272"/>
      <c r="CX37" s="242" t="str">
        <f t="shared" si="39"/>
        <v/>
      </c>
      <c r="CY37" s="39">
        <f t="shared" si="9"/>
        <v>33</v>
      </c>
      <c r="CZ37" s="332"/>
      <c r="DA37" s="271"/>
      <c r="DB37" s="269"/>
      <c r="DC37" s="10"/>
      <c r="DD37" s="270"/>
      <c r="DE37" s="272"/>
      <c r="DG37" s="242"/>
    </row>
    <row r="38" spans="1:111" s="18" customFormat="1" ht="45" customHeight="1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61"/>
      <c r="BD38" s="61"/>
      <c r="BE38" s="61"/>
      <c r="BF38" s="61"/>
      <c r="BG38" s="61"/>
      <c r="BH38" s="61"/>
      <c r="BI38" s="61"/>
      <c r="BJ38" s="82"/>
      <c r="BK38" s="82"/>
      <c r="BL38" s="82"/>
      <c r="BM38" s="14"/>
      <c r="BN38" s="39">
        <f t="shared" si="1"/>
        <v>34</v>
      </c>
      <c r="BO38" s="354" t="str" cm="1">
        <f t="array" ref="BO38" xml:space="preserve"> INDEX(_xlfn.ANCHORARRAY($D$17), 1, $BN38)</f>
        <v>E</v>
      </c>
      <c r="BP38" s="351" t="str" cm="1">
        <f t="array" ref="BP38" xml:space="preserve"> INDEX(_xlfn.ANCHORARRAY($D$18), 1, $BN38)</f>
        <v>&lt;</v>
      </c>
      <c r="BQ38" s="269" t="str" cm="1">
        <f t="array" ref="BQ38" xml:space="preserve"> INDEX(_xlfn.ANCHORARRAY($D$19), 1, $BN38)</f>
        <v>ㆥ</v>
      </c>
      <c r="BR38" s="355" t="str" cm="1">
        <f t="array" ref="BR38" xml:space="preserve"> INDEX(_xlfn.ANCHORARRAY($D$20), 1, $BN38)</f>
        <v>ne</v>
      </c>
      <c r="BS38" s="356" t="str" cm="1">
        <f t="array" ref="BS38" xml:space="preserve"> INDEX(注音編碼對照表[聲韻調], MATCH(TRUE, EXACT($BP38, 注音編碼對照表[鍵盤按鍵]), 0))</f>
        <v>韻</v>
      </c>
      <c r="BT38" s="357">
        <f t="shared" si="2"/>
        <v>2</v>
      </c>
      <c r="BV38" s="123" t="str">
        <f t="shared" si="3"/>
        <v xml:space="preserve">    "&lt;": { commit: "ㆥ" }  # /ne/ ==&gt; E</v>
      </c>
      <c r="BW38" s="40"/>
      <c r="BX38" s="39">
        <f t="shared" si="4"/>
        <v>34</v>
      </c>
      <c r="BY38" s="332"/>
      <c r="BZ38" s="271"/>
      <c r="CA38" s="269"/>
      <c r="CB38" s="10"/>
      <c r="CC38" s="270"/>
      <c r="CD38" s="272"/>
      <c r="CF38" s="242"/>
      <c r="CG38" s="39">
        <f t="shared" si="5"/>
        <v>34</v>
      </c>
      <c r="CH38" s="332"/>
      <c r="CI38" s="271"/>
      <c r="CJ38" s="269"/>
      <c r="CK38" s="10"/>
      <c r="CL38" s="270"/>
      <c r="CM38" s="272"/>
      <c r="CO38" s="242"/>
      <c r="CP38" s="39">
        <f t="shared" si="7"/>
        <v>34</v>
      </c>
      <c r="CQ38" s="332"/>
      <c r="CR38" s="271"/>
      <c r="CS38" s="269"/>
      <c r="CT38" s="10"/>
      <c r="CU38" s="270"/>
      <c r="CV38" s="272"/>
      <c r="CX38" s="242" t="str">
        <f t="shared" si="39"/>
        <v/>
      </c>
      <c r="CY38" s="39">
        <f t="shared" si="9"/>
        <v>34</v>
      </c>
      <c r="CZ38" s="332"/>
      <c r="DA38" s="271"/>
      <c r="DB38" s="269"/>
      <c r="DC38" s="10"/>
      <c r="DD38" s="270"/>
      <c r="DE38" s="272"/>
      <c r="DG38" s="242"/>
    </row>
    <row r="39" spans="1:111" s="18" customFormat="1" ht="45" customHeight="1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82"/>
      <c r="BM39" s="14"/>
      <c r="BN39" s="39">
        <f t="shared" si="1"/>
        <v>35</v>
      </c>
      <c r="BO39" s="354" t="str" cm="1">
        <f t="array" ref="BO39" xml:space="preserve"> INDEX(_xlfn.ANCHORARRAY($D$17), 1, $BN39)</f>
        <v>Q</v>
      </c>
      <c r="BP39" s="351" t="str" cm="1">
        <f t="array" ref="BP39" xml:space="preserve"> INDEX(_xlfn.ANCHORARRAY($D$18), 1, $BN39)</f>
        <v>I</v>
      </c>
      <c r="BQ39" s="269" t="str" cm="1">
        <f t="array" ref="BQ39" xml:space="preserve"> INDEX(_xlfn.ANCHORARRAY($D$19), 1, $BN39)</f>
        <v>ㆧ</v>
      </c>
      <c r="BR39" s="355" t="str" cm="1">
        <f t="array" ref="BR39" xml:space="preserve"> INDEX(_xlfn.ANCHORARRAY($D$20), 1, $BN39)</f>
        <v>no</v>
      </c>
      <c r="BS39" s="356" t="str" cm="1">
        <f t="array" ref="BS39" xml:space="preserve"> INDEX(注音編碼對照表[聲韻調], MATCH(TRUE, EXACT($BP39, 注音編碼對照表[鍵盤按鍵]), 0))</f>
        <v>韻</v>
      </c>
      <c r="BT39" s="357">
        <f t="shared" si="2"/>
        <v>2</v>
      </c>
      <c r="BV39" s="123" t="str">
        <f t="shared" si="3"/>
        <v xml:space="preserve">    "I": { commit: "ㆧ" }  # /no/ ==&gt; Q</v>
      </c>
      <c r="BW39" s="40"/>
      <c r="BX39" s="39">
        <f t="shared" si="4"/>
        <v>35</v>
      </c>
      <c r="BY39" s="332"/>
      <c r="BZ39" s="271"/>
      <c r="CA39" s="269"/>
      <c r="CB39" s="10"/>
      <c r="CC39" s="270"/>
      <c r="CD39" s="272"/>
      <c r="CF39" s="242"/>
      <c r="CG39" s="39">
        <f t="shared" si="5"/>
        <v>35</v>
      </c>
      <c r="CH39" s="332"/>
      <c r="CI39" s="271"/>
      <c r="CJ39" s="269"/>
      <c r="CK39" s="10"/>
      <c r="CL39" s="270"/>
      <c r="CM39" s="272"/>
      <c r="CO39" s="242"/>
      <c r="CP39" s="39">
        <f t="shared" si="7"/>
        <v>35</v>
      </c>
      <c r="CQ39" s="332"/>
      <c r="CR39" s="271"/>
      <c r="CS39" s="269"/>
      <c r="CT39" s="10"/>
      <c r="CU39" s="270"/>
      <c r="CV39" s="272"/>
      <c r="CX39" s="242" t="str">
        <f t="shared" si="39"/>
        <v/>
      </c>
      <c r="CY39" s="39">
        <f t="shared" si="9"/>
        <v>35</v>
      </c>
      <c r="CZ39" s="332"/>
      <c r="DA39" s="271"/>
      <c r="DB39" s="269"/>
      <c r="DC39" s="10"/>
      <c r="DD39" s="270"/>
      <c r="DE39" s="272"/>
      <c r="DG39" s="242"/>
    </row>
    <row r="40" spans="1:111" ht="45" customHeight="1">
      <c r="A40" s="18"/>
      <c r="B40" s="283">
        <v>1</v>
      </c>
      <c r="C40" s="283">
        <v>2</v>
      </c>
      <c r="D40" s="283">
        <v>3</v>
      </c>
      <c r="E40" s="283">
        <v>4</v>
      </c>
      <c r="F40" s="283">
        <v>5</v>
      </c>
      <c r="G40" s="283">
        <v>6</v>
      </c>
      <c r="H40" s="283">
        <v>7</v>
      </c>
      <c r="I40" s="283">
        <v>8</v>
      </c>
      <c r="J40" s="283">
        <v>9</v>
      </c>
      <c r="K40" s="283">
        <v>10</v>
      </c>
      <c r="L40" s="283">
        <v>11</v>
      </c>
      <c r="M40" s="283">
        <v>12</v>
      </c>
      <c r="N40" s="283">
        <v>13</v>
      </c>
      <c r="O40" s="283">
        <v>14</v>
      </c>
      <c r="P40" s="283">
        <v>15</v>
      </c>
      <c r="Q40" s="283">
        <v>16</v>
      </c>
      <c r="R40" s="283">
        <v>17</v>
      </c>
      <c r="S40" s="284">
        <v>18</v>
      </c>
      <c r="T40" s="283">
        <v>19</v>
      </c>
      <c r="U40" s="283">
        <v>20</v>
      </c>
      <c r="V40" s="283">
        <v>21</v>
      </c>
      <c r="W40" s="283">
        <v>22</v>
      </c>
      <c r="X40" s="283">
        <v>23</v>
      </c>
      <c r="Y40" s="283">
        <v>24</v>
      </c>
      <c r="Z40" s="283">
        <v>25</v>
      </c>
      <c r="AA40" s="283">
        <v>26</v>
      </c>
      <c r="AB40" s="283">
        <v>27</v>
      </c>
      <c r="AC40" s="283">
        <v>28</v>
      </c>
      <c r="AD40" s="283">
        <v>29</v>
      </c>
      <c r="AE40" s="283">
        <v>30</v>
      </c>
      <c r="AF40" s="283">
        <v>31</v>
      </c>
      <c r="AG40" s="283">
        <v>32</v>
      </c>
      <c r="AH40" s="285">
        <v>33</v>
      </c>
      <c r="AI40" s="285">
        <v>34</v>
      </c>
      <c r="AJ40" s="285">
        <v>35</v>
      </c>
      <c r="AK40" s="285">
        <v>36</v>
      </c>
      <c r="AL40" s="286">
        <v>37</v>
      </c>
      <c r="AM40" s="285">
        <v>38</v>
      </c>
      <c r="AN40" s="285">
        <v>39</v>
      </c>
      <c r="AO40" s="285">
        <v>40</v>
      </c>
      <c r="AP40" s="285">
        <v>41</v>
      </c>
      <c r="AQ40" s="285">
        <v>42</v>
      </c>
      <c r="AR40" s="285">
        <v>43</v>
      </c>
      <c r="AS40" s="285">
        <v>44</v>
      </c>
      <c r="AT40" s="285">
        <v>45</v>
      </c>
      <c r="AU40" s="285">
        <v>46</v>
      </c>
      <c r="AV40" s="285">
        <v>47</v>
      </c>
      <c r="AW40" s="285">
        <v>48</v>
      </c>
      <c r="AX40" s="285">
        <v>49</v>
      </c>
      <c r="AY40" s="285">
        <v>50</v>
      </c>
      <c r="AZ40" s="285">
        <v>51</v>
      </c>
      <c r="BA40" s="285">
        <v>52</v>
      </c>
      <c r="BB40" s="285">
        <v>53</v>
      </c>
      <c r="BC40" s="285">
        <v>54</v>
      </c>
      <c r="BD40" s="285">
        <v>55</v>
      </c>
      <c r="BE40" s="285">
        <v>56</v>
      </c>
      <c r="BF40" s="285">
        <v>57</v>
      </c>
      <c r="BG40" s="285">
        <v>58</v>
      </c>
      <c r="BH40" s="285">
        <v>59</v>
      </c>
      <c r="BI40" s="285">
        <v>60</v>
      </c>
      <c r="BJ40" s="82"/>
      <c r="BK40" s="82"/>
      <c r="BL40" s="82"/>
      <c r="BN40" s="39">
        <f t="shared" si="1"/>
        <v>36</v>
      </c>
      <c r="BO40" s="354" t="str" cm="1">
        <f t="array" ref="BO40" xml:space="preserve"> INDEX(_xlfn.ANCHORARRAY($D$17), 1, $BN40)</f>
        <v>x</v>
      </c>
      <c r="BP40" s="351" t="str" cm="1">
        <f t="array" ref="BP40" xml:space="preserve"> INDEX(_xlfn.ANCHORARRAY($D$18), 1, $BN40)</f>
        <v>(</v>
      </c>
      <c r="BQ40" s="269" t="str" cm="1">
        <f t="array" ref="BQ40" xml:space="preserve"> INDEX(_xlfn.ANCHORARRAY($D$19), 1, $BN40)</f>
        <v>ㆮ</v>
      </c>
      <c r="BR40" s="355" t="str" cm="1">
        <f t="array" ref="BR40" xml:space="preserve"> INDEX(_xlfn.ANCHORARRAY($D$20), 1, $BN40)</f>
        <v>nai</v>
      </c>
      <c r="BS40" s="356" t="str" cm="1">
        <f t="array" ref="BS40" xml:space="preserve"> INDEX(注音編碼對照表[聲韻調], MATCH(TRUE, EXACT($BP40, 注音編碼對照表[鍵盤按鍵]), 0))</f>
        <v>韻</v>
      </c>
      <c r="BT40" s="357">
        <f t="shared" si="2"/>
        <v>3</v>
      </c>
      <c r="BU40" s="18"/>
      <c r="BV40" s="123" t="str">
        <f t="shared" si="3"/>
        <v xml:space="preserve">    "(": { commit: "ㆮ" }  # /nai/ ==&gt; x</v>
      </c>
      <c r="BW40" s="40"/>
      <c r="BX40" s="39">
        <f t="shared" si="4"/>
        <v>36</v>
      </c>
      <c r="BY40" s="332"/>
      <c r="BZ40" s="271"/>
      <c r="CA40" s="269"/>
      <c r="CB40" s="10"/>
      <c r="CC40" s="270"/>
      <c r="CD40" s="272"/>
      <c r="CE40" s="18"/>
      <c r="CG40" s="39">
        <f t="shared" si="5"/>
        <v>36</v>
      </c>
      <c r="CH40" s="332"/>
      <c r="CI40" s="271"/>
      <c r="CJ40" s="269"/>
      <c r="CK40" s="10"/>
      <c r="CL40" s="270"/>
      <c r="CM40" s="272"/>
      <c r="CN40" s="18"/>
      <c r="CP40" s="39">
        <f t="shared" si="7"/>
        <v>36</v>
      </c>
      <c r="CQ40" s="332"/>
      <c r="CR40" s="271"/>
      <c r="CS40" s="269"/>
      <c r="CT40" s="10"/>
      <c r="CU40" s="270"/>
      <c r="CV40" s="272"/>
      <c r="CW40" s="18"/>
      <c r="CX40" s="242" t="str">
        <f t="shared" si="39"/>
        <v/>
      </c>
      <c r="CY40" s="39">
        <f t="shared" si="9"/>
        <v>36</v>
      </c>
      <c r="CZ40" s="332"/>
      <c r="DA40" s="271"/>
      <c r="DB40" s="269"/>
      <c r="DC40" s="10"/>
      <c r="DD40" s="270"/>
      <c r="DE40" s="272"/>
      <c r="DF40" s="18"/>
    </row>
    <row r="41" spans="1:111" ht="45" customHeight="1">
      <c r="A41" s="18"/>
      <c r="B41" s="300" t="str">
        <f xml:space="preserve"> MID($E$35, B$40, 1)</f>
        <v>m</v>
      </c>
      <c r="C41" s="300" t="str">
        <f t="shared" ref="C41:BI41" si="40" xml:space="preserve"> MID($E$35, C$40, 1)</f>
        <v>B</v>
      </c>
      <c r="D41" s="300" t="str">
        <f t="shared" si="40"/>
        <v>b</v>
      </c>
      <c r="E41" s="300" t="str">
        <f t="shared" si="40"/>
        <v>p</v>
      </c>
      <c r="F41" s="300" t="str">
        <f t="shared" si="40"/>
        <v>n</v>
      </c>
      <c r="G41" s="300" t="str">
        <f t="shared" si="40"/>
        <v>d</v>
      </c>
      <c r="H41" s="300" t="str">
        <f t="shared" si="40"/>
        <v>t</v>
      </c>
      <c r="I41" s="300" t="str">
        <f t="shared" si="40"/>
        <v>l</v>
      </c>
      <c r="J41" s="300" t="str">
        <f t="shared" si="40"/>
        <v>ŋ</v>
      </c>
      <c r="K41" s="300" t="str">
        <f t="shared" si="40"/>
        <v>v</v>
      </c>
      <c r="L41" s="300" t="str">
        <f t="shared" si="40"/>
        <v>g</v>
      </c>
      <c r="M41" s="300" t="str">
        <f t="shared" si="40"/>
        <v>k</v>
      </c>
      <c r="N41" s="300" t="str">
        <f t="shared" si="40"/>
        <v>Z</v>
      </c>
      <c r="O41" s="300" t="str">
        <f t="shared" si="40"/>
        <v>z</v>
      </c>
      <c r="P41" s="300" t="str">
        <f t="shared" si="40"/>
        <v>c</v>
      </c>
      <c r="Q41" s="300" t="str">
        <f t="shared" si="40"/>
        <v>s</v>
      </c>
      <c r="R41" s="300" t="str">
        <f t="shared" si="40"/>
        <v>J</v>
      </c>
      <c r="S41" s="300" t="str">
        <f t="shared" si="40"/>
        <v>j</v>
      </c>
      <c r="T41" s="300" t="str">
        <f t="shared" si="40"/>
        <v>C</v>
      </c>
      <c r="U41" s="300" t="str">
        <f t="shared" si="40"/>
        <v>S</v>
      </c>
      <c r="V41" s="300" t="str">
        <f t="shared" si="40"/>
        <v>h</v>
      </c>
      <c r="W41" s="300" t="str">
        <f t="shared" si="40"/>
        <v>a</v>
      </c>
      <c r="X41" s="300" t="str">
        <f t="shared" si="40"/>
        <v>i</v>
      </c>
      <c r="Y41" s="300" t="str">
        <f t="shared" si="40"/>
        <v>w</v>
      </c>
      <c r="Z41" s="300" t="str">
        <f t="shared" si="40"/>
        <v>u</v>
      </c>
      <c r="AA41" s="300" t="str">
        <f t="shared" si="40"/>
        <v>e</v>
      </c>
      <c r="AB41" s="300" t="str">
        <f t="shared" si="40"/>
        <v>O</v>
      </c>
      <c r="AC41" s="300" t="str">
        <f t="shared" si="40"/>
        <v>o</v>
      </c>
      <c r="AD41" s="300" t="str">
        <f t="shared" si="40"/>
        <v>I</v>
      </c>
      <c r="AE41" s="300" t="str">
        <f t="shared" si="40"/>
        <v>U</v>
      </c>
      <c r="AF41" s="300" t="str">
        <f t="shared" si="40"/>
        <v>R</v>
      </c>
      <c r="AG41" s="300" t="str">
        <f t="shared" si="40"/>
        <v>D</v>
      </c>
      <c r="AH41" s="300" t="str">
        <f t="shared" si="40"/>
        <v>X</v>
      </c>
      <c r="AI41" s="300" t="str">
        <f t="shared" si="40"/>
        <v>E</v>
      </c>
      <c r="AJ41" s="300" t="str">
        <f t="shared" si="40"/>
        <v>Q</v>
      </c>
      <c r="AK41" s="300" t="str">
        <f t="shared" si="40"/>
        <v>x</v>
      </c>
      <c r="AL41" s="300" t="str">
        <f t="shared" si="40"/>
        <v>y</v>
      </c>
      <c r="AM41" s="300" t="str">
        <f t="shared" si="40"/>
        <v>M</v>
      </c>
      <c r="AN41" s="300" t="str">
        <f t="shared" si="40"/>
        <v>N</v>
      </c>
      <c r="AO41" s="300" t="str">
        <f t="shared" si="40"/>
        <v>G</v>
      </c>
      <c r="AP41" s="300" t="str">
        <f t="shared" si="40"/>
        <v>Y</v>
      </c>
      <c r="AQ41" s="300" t="str">
        <f t="shared" si="40"/>
        <v>@</v>
      </c>
      <c r="AR41" s="300" t="str">
        <f t="shared" si="40"/>
        <v>A</v>
      </c>
      <c r="AS41" s="300" t="str">
        <f t="shared" si="40"/>
        <v>W</v>
      </c>
      <c r="AT41" s="300" t="str">
        <f t="shared" si="40"/>
        <v>H</v>
      </c>
      <c r="AU41" s="300" t="str">
        <f t="shared" si="40"/>
        <v>P</v>
      </c>
      <c r="AV41" s="300" t="str">
        <f t="shared" si="40"/>
        <v>T</v>
      </c>
      <c r="AW41" s="300" t="str">
        <f t="shared" si="40"/>
        <v>K</v>
      </c>
      <c r="AX41" s="300" t="str">
        <f t="shared" si="40"/>
        <v>V</v>
      </c>
      <c r="AY41" s="300" t="str">
        <f t="shared" si="40"/>
        <v>1</v>
      </c>
      <c r="AZ41" s="300" t="str">
        <f t="shared" si="40"/>
        <v>6</v>
      </c>
      <c r="BA41" s="300" t="str">
        <f t="shared" si="40"/>
        <v>5</v>
      </c>
      <c r="BB41" s="300" t="str">
        <f t="shared" si="40"/>
        <v>3</v>
      </c>
      <c r="BC41" s="300" t="str">
        <f t="shared" si="40"/>
        <v>2</v>
      </c>
      <c r="BD41" s="300" t="str">
        <f t="shared" si="40"/>
        <v>7</v>
      </c>
      <c r="BE41" s="300" t="str">
        <f t="shared" si="40"/>
        <v>8</v>
      </c>
      <c r="BF41" s="300" t="str">
        <f t="shared" si="40"/>
        <v>0</v>
      </c>
      <c r="BG41" s="300" t="str">
        <f t="shared" si="40"/>
        <v>&amp;</v>
      </c>
      <c r="BH41" s="300" t="str">
        <f t="shared" si="40"/>
        <v>L</v>
      </c>
      <c r="BI41" s="300" t="str">
        <f t="shared" si="40"/>
        <v>*</v>
      </c>
      <c r="BJ41" s="82"/>
      <c r="BK41" s="82"/>
      <c r="BL41" s="82"/>
      <c r="BN41" s="39">
        <f t="shared" si="1"/>
        <v>37</v>
      </c>
      <c r="BO41" s="354" t="str" cm="1">
        <f t="array" ref="BO41" xml:space="preserve"> INDEX(_xlfn.ANCHORARRAY($D$17), 1, $BN41)</f>
        <v>y</v>
      </c>
      <c r="BP41" s="351" t="str" cm="1">
        <f t="array" ref="BP41" xml:space="preserve"> INDEX(_xlfn.ANCHORARRAY($D$18), 1, $BN41)</f>
        <v>L</v>
      </c>
      <c r="BQ41" s="269" t="str" cm="1">
        <f t="array" ref="BQ41" xml:space="preserve"> INDEX(_xlfn.ANCHORARRAY($D$19), 1, $BN41)</f>
        <v>ㆯ</v>
      </c>
      <c r="BR41" s="355" t="str" cm="1">
        <f t="array" ref="BR41" xml:space="preserve"> INDEX(_xlfn.ANCHORARRAY($D$20), 1, $BN41)</f>
        <v>nau</v>
      </c>
      <c r="BS41" s="356" t="str" cm="1">
        <f t="array" ref="BS41" xml:space="preserve"> INDEX(注音編碼對照表[聲韻調], MATCH(TRUE, EXACT($BP41, 注音編碼對照表[鍵盤按鍵]), 0))</f>
        <v>韻</v>
      </c>
      <c r="BT41" s="357">
        <f t="shared" si="2"/>
        <v>3</v>
      </c>
      <c r="BU41" s="18"/>
      <c r="BV41" s="123" t="str">
        <f t="shared" si="3"/>
        <v xml:space="preserve">    "L": { commit: "ㆯ" }  # /nau/ ==&gt; y</v>
      </c>
      <c r="BW41" s="40"/>
      <c r="BX41" s="39">
        <f t="shared" si="4"/>
        <v>37</v>
      </c>
      <c r="BY41" s="332"/>
      <c r="BZ41" s="271"/>
      <c r="CA41" s="269"/>
      <c r="CB41" s="10"/>
      <c r="CC41" s="270"/>
      <c r="CD41" s="272"/>
      <c r="CG41" s="39">
        <f t="shared" si="5"/>
        <v>37</v>
      </c>
      <c r="CH41" s="332"/>
      <c r="CI41" s="271"/>
      <c r="CJ41" s="269"/>
      <c r="CK41" s="10"/>
      <c r="CL41" s="270"/>
      <c r="CM41" s="272"/>
      <c r="CP41" s="39">
        <f t="shared" si="7"/>
        <v>37</v>
      </c>
      <c r="CQ41" s="332"/>
      <c r="CR41" s="271"/>
      <c r="CS41" s="269"/>
      <c r="CT41" s="10"/>
      <c r="CU41" s="270"/>
      <c r="CV41" s="272"/>
      <c r="CX41" s="242" t="str">
        <f t="shared" si="39"/>
        <v/>
      </c>
      <c r="CY41" s="39">
        <f t="shared" si="9"/>
        <v>37</v>
      </c>
      <c r="CZ41" s="332"/>
      <c r="DA41" s="271"/>
      <c r="DB41" s="269"/>
      <c r="DC41" s="10"/>
      <c r="DD41" s="270"/>
      <c r="DE41" s="272"/>
    </row>
    <row r="42" spans="1:111" ht="45" customHeight="1">
      <c r="A42" s="18"/>
      <c r="B42" s="297" t="str">
        <f xml:space="preserve"> MID($E$36, B$40, 1)</f>
        <v>a</v>
      </c>
      <c r="C42" s="297" t="str">
        <f t="shared" ref="C42:BI42" si="41" xml:space="preserve"> MID($E$36, C$40, 1)</f>
        <v>!</v>
      </c>
      <c r="D42" s="297" t="str">
        <f t="shared" si="41"/>
        <v>1</v>
      </c>
      <c r="E42" s="297" t="str">
        <f t="shared" si="41"/>
        <v>q</v>
      </c>
      <c r="F42" s="297" t="str">
        <f t="shared" si="41"/>
        <v>s</v>
      </c>
      <c r="G42" s="297" t="str">
        <f t="shared" si="41"/>
        <v>2</v>
      </c>
      <c r="H42" s="297" t="str">
        <f t="shared" si="41"/>
        <v>w</v>
      </c>
      <c r="I42" s="297" t="str">
        <f t="shared" si="41"/>
        <v>x</v>
      </c>
      <c r="J42" s="297" t="str">
        <f t="shared" si="41"/>
        <v>N</v>
      </c>
      <c r="K42" s="297" t="str">
        <f t="shared" si="41"/>
        <v>E</v>
      </c>
      <c r="L42" s="297" t="str">
        <f t="shared" si="41"/>
        <v>e</v>
      </c>
      <c r="M42" s="297" t="str">
        <f t="shared" si="41"/>
        <v>d</v>
      </c>
      <c r="N42" s="297" t="str">
        <f t="shared" si="41"/>
        <v>Y</v>
      </c>
      <c r="O42" s="297" t="str">
        <f t="shared" si="41"/>
        <v>y</v>
      </c>
      <c r="P42" s="297" t="str">
        <f t="shared" si="41"/>
        <v>h</v>
      </c>
      <c r="Q42" s="297" t="str">
        <f t="shared" si="41"/>
        <v>n</v>
      </c>
      <c r="R42" s="297" t="str">
        <f t="shared" si="41"/>
        <v>R</v>
      </c>
      <c r="S42" s="297" t="str">
        <f t="shared" si="41"/>
        <v>r</v>
      </c>
      <c r="T42" s="297" t="str">
        <f t="shared" si="41"/>
        <v>f</v>
      </c>
      <c r="U42" s="297" t="str">
        <f t="shared" si="41"/>
        <v>v</v>
      </c>
      <c r="V42" s="297" t="str">
        <f t="shared" si="41"/>
        <v>c</v>
      </c>
      <c r="W42" s="297" t="str">
        <f t="shared" si="41"/>
        <v>8</v>
      </c>
      <c r="X42" s="297" t="str">
        <f t="shared" si="41"/>
        <v>u</v>
      </c>
      <c r="Y42" s="297" t="str">
        <f t="shared" si="41"/>
        <v>K</v>
      </c>
      <c r="Z42" s="297" t="str">
        <f t="shared" si="41"/>
        <v>j</v>
      </c>
      <c r="AA42" s="297" t="str">
        <f t="shared" si="41"/>
        <v>,</v>
      </c>
      <c r="AB42" s="297" t="str">
        <f t="shared" si="41"/>
        <v>i</v>
      </c>
      <c r="AC42" s="297" t="str">
        <f t="shared" si="41"/>
        <v>k</v>
      </c>
      <c r="AD42" s="297" t="str">
        <f t="shared" si="41"/>
        <v>9</v>
      </c>
      <c r="AE42" s="297" t="str">
        <f t="shared" si="41"/>
        <v>l</v>
      </c>
      <c r="AF42" s="297" t="str">
        <f t="shared" si="41"/>
        <v>*</v>
      </c>
      <c r="AG42" s="297" t="str">
        <f t="shared" si="41"/>
        <v>U</v>
      </c>
      <c r="AH42" s="297" t="str">
        <f t="shared" si="41"/>
        <v>J</v>
      </c>
      <c r="AI42" s="297" t="str">
        <f t="shared" si="41"/>
        <v>&lt;</v>
      </c>
      <c r="AJ42" s="297" t="str">
        <f t="shared" si="41"/>
        <v>I</v>
      </c>
      <c r="AK42" s="297" t="str">
        <f t="shared" si="41"/>
        <v>(</v>
      </c>
      <c r="AL42" s="297" t="str">
        <f t="shared" si="41"/>
        <v>L</v>
      </c>
      <c r="AM42" s="297" t="str">
        <f t="shared" si="41"/>
        <v>m</v>
      </c>
      <c r="AN42" s="297" t="str">
        <f t="shared" si="41"/>
        <v>p</v>
      </c>
      <c r="AO42" s="297" t="str">
        <f t="shared" si="41"/>
        <v>/</v>
      </c>
      <c r="AP42" s="297" t="str">
        <f t="shared" si="41"/>
        <v>M</v>
      </c>
      <c r="AQ42" s="297" t="str">
        <f t="shared" si="41"/>
        <v>0</v>
      </c>
      <c r="AR42" s="297" t="str">
        <f t="shared" si="41"/>
        <v>;</v>
      </c>
      <c r="AS42" s="297" t="str">
        <f t="shared" si="41"/>
        <v>O</v>
      </c>
      <c r="AT42" s="297" t="str">
        <f t="shared" si="41"/>
        <v>o</v>
      </c>
      <c r="AU42" s="297" t="str">
        <f t="shared" si="41"/>
        <v>b</v>
      </c>
      <c r="AV42" s="297" t="str">
        <f t="shared" si="41"/>
        <v>t</v>
      </c>
      <c r="AW42" s="297" t="str">
        <f t="shared" si="41"/>
        <v>g</v>
      </c>
      <c r="AX42" s="297" t="str">
        <f t="shared" si="41"/>
        <v>z</v>
      </c>
      <c r="AY42" s="297" t="str">
        <f t="shared" si="41"/>
        <v>:</v>
      </c>
      <c r="AZ42" s="297" t="str">
        <f t="shared" si="41"/>
        <v>5</v>
      </c>
      <c r="BA42" s="297" t="str">
        <f t="shared" si="41"/>
        <v>3</v>
      </c>
      <c r="BB42" s="297" t="str">
        <f t="shared" si="41"/>
        <v>4</v>
      </c>
      <c r="BC42" s="297" t="str">
        <f t="shared" si="41"/>
        <v>6</v>
      </c>
      <c r="BD42" s="297" t="str">
        <f t="shared" si="41"/>
        <v>[</v>
      </c>
      <c r="BE42" s="297" t="str">
        <f t="shared" si="41"/>
        <v>]</v>
      </c>
      <c r="BF42" s="297" t="str">
        <f t="shared" si="41"/>
        <v>7</v>
      </c>
      <c r="BG42" s="297" t="str">
        <f t="shared" si="41"/>
        <v>.</v>
      </c>
      <c r="BH42" s="297" t="str">
        <f t="shared" si="41"/>
        <v>?</v>
      </c>
      <c r="BI42" s="297" t="str">
        <f t="shared" si="41"/>
        <v>-</v>
      </c>
      <c r="BJ42" s="82"/>
      <c r="BK42" s="82"/>
      <c r="BL42" s="82"/>
      <c r="BN42" s="39">
        <f t="shared" si="1"/>
        <v>38</v>
      </c>
      <c r="BO42" s="354" t="str" cm="1">
        <f t="array" ref="BO42" xml:space="preserve"> INDEX(_xlfn.ANCHORARRAY($D$17), 1, $BN42)</f>
        <v>M</v>
      </c>
      <c r="BP42" s="351" t="str" cm="1">
        <f t="array" ref="BP42" xml:space="preserve"> INDEX(_xlfn.ANCHORARRAY($D$18), 1, $BN42)</f>
        <v>m</v>
      </c>
      <c r="BQ42" s="269" t="str" cm="1">
        <f t="array" ref="BQ42" xml:space="preserve"> INDEX(_xlfn.ANCHORARRAY($D$19), 1, $BN42)</f>
        <v>ㆬ</v>
      </c>
      <c r="BR42" s="355" t="str" cm="1">
        <f t="array" ref="BR42" xml:space="preserve"> INDEX(_xlfn.ANCHORARRAY($D$20), 1, $BN42)</f>
        <v>m</v>
      </c>
      <c r="BS42" s="356" t="str" cm="1">
        <f t="array" ref="BS42" xml:space="preserve"> INDEX(注音編碼對照表[聲韻調], MATCH(TRUE, EXACT($BP42, 注音編碼對照表[鍵盤按鍵]), 0))</f>
        <v>韻</v>
      </c>
      <c r="BT42" s="357">
        <f t="shared" si="2"/>
        <v>1</v>
      </c>
      <c r="BV42" s="123" t="str">
        <f t="shared" si="3"/>
        <v xml:space="preserve">    "m": { commit: "ㆬ" }  # /m/ ==&gt; M</v>
      </c>
      <c r="BW42" s="40"/>
      <c r="BX42" s="39">
        <f t="shared" si="4"/>
        <v>38</v>
      </c>
      <c r="BY42" s="332"/>
      <c r="BZ42" s="271"/>
      <c r="CA42" s="269"/>
      <c r="CB42" s="10"/>
      <c r="CC42" s="270"/>
      <c r="CD42" s="272"/>
      <c r="CG42" s="39">
        <f t="shared" si="5"/>
        <v>38</v>
      </c>
      <c r="CH42" s="332"/>
      <c r="CI42" s="271"/>
      <c r="CJ42" s="269"/>
      <c r="CK42" s="10"/>
      <c r="CL42" s="270"/>
      <c r="CM42" s="272"/>
      <c r="CP42" s="39">
        <f t="shared" si="7"/>
        <v>38</v>
      </c>
      <c r="CQ42" s="332"/>
      <c r="CR42" s="271"/>
      <c r="CS42" s="269"/>
      <c r="CT42" s="10"/>
      <c r="CU42" s="270"/>
      <c r="CV42" s="272"/>
      <c r="CX42" s="242" t="str">
        <f t="shared" si="39"/>
        <v/>
      </c>
      <c r="CY42" s="39">
        <f t="shared" si="9"/>
        <v>38</v>
      </c>
      <c r="CZ42" s="332"/>
      <c r="DA42" s="271"/>
      <c r="DB42" s="269"/>
      <c r="DC42" s="10"/>
      <c r="DD42" s="270"/>
      <c r="DE42" s="272"/>
    </row>
    <row r="43" spans="1:111" ht="45" customHeight="1">
      <c r="A43" s="18"/>
      <c r="BC43" s="61"/>
      <c r="BD43" s="61"/>
      <c r="BE43" s="61"/>
      <c r="BF43" s="61"/>
      <c r="BG43" s="61"/>
      <c r="BH43" s="61"/>
      <c r="BI43" s="61"/>
      <c r="BJ43" s="82"/>
      <c r="BK43" s="82"/>
      <c r="BL43" s="82"/>
      <c r="BN43" s="39">
        <f t="shared" si="1"/>
        <v>39</v>
      </c>
      <c r="BO43" s="354" t="str" cm="1">
        <f t="array" ref="BO43" xml:space="preserve"> INDEX(_xlfn.ANCHORARRAY($D$17), 1, $BN43)</f>
        <v>N</v>
      </c>
      <c r="BP43" s="351" t="str" cm="1">
        <f t="array" ref="BP43" xml:space="preserve"> INDEX(_xlfn.ANCHORARRAY($D$18), 1, $BN43)</f>
        <v>p</v>
      </c>
      <c r="BQ43" s="269" t="str" cm="1">
        <f t="array" ref="BQ43" xml:space="preserve"> INDEX(_xlfn.ANCHORARRAY($D$19), 1, $BN43)</f>
        <v>ㄣ</v>
      </c>
      <c r="BR43" s="355" t="str" cm="1">
        <f t="array" ref="BR43" xml:space="preserve"> INDEX(_xlfn.ANCHORARRAY($D$20), 1, $BN43)</f>
        <v>n</v>
      </c>
      <c r="BS43" s="356" t="str" cm="1">
        <f t="array" ref="BS43" xml:space="preserve"> INDEX(注音編碼對照表[聲韻調], MATCH(TRUE, EXACT($BP43, 注音編碼對照表[鍵盤按鍵]), 0))</f>
        <v>韻</v>
      </c>
      <c r="BT43" s="357">
        <f t="shared" si="2"/>
        <v>1</v>
      </c>
      <c r="BV43" s="123" t="str">
        <f t="shared" si="3"/>
        <v xml:space="preserve">    "p": { commit: "ㄣ" }  # /n/ ==&gt; N</v>
      </c>
      <c r="BW43" s="40"/>
      <c r="BX43" s="39">
        <f t="shared" si="4"/>
        <v>39</v>
      </c>
      <c r="BY43" s="332"/>
      <c r="BZ43" s="271"/>
      <c r="CA43" s="269"/>
      <c r="CB43" s="10"/>
      <c r="CC43" s="270"/>
      <c r="CD43" s="272"/>
      <c r="CG43" s="39">
        <f t="shared" si="5"/>
        <v>39</v>
      </c>
      <c r="CH43" s="332"/>
      <c r="CI43" s="271"/>
      <c r="CJ43" s="269"/>
      <c r="CK43" s="10"/>
      <c r="CL43" s="270"/>
      <c r="CM43" s="272"/>
      <c r="CP43" s="39">
        <f t="shared" si="7"/>
        <v>39</v>
      </c>
      <c r="CQ43" s="332"/>
      <c r="CR43" s="271"/>
      <c r="CS43" s="269"/>
      <c r="CT43" s="10"/>
      <c r="CU43" s="270"/>
      <c r="CV43" s="272"/>
      <c r="CX43" s="242" t="str">
        <f t="shared" si="39"/>
        <v/>
      </c>
      <c r="CY43" s="39">
        <f t="shared" si="9"/>
        <v>39</v>
      </c>
      <c r="CZ43" s="332"/>
      <c r="DA43" s="271"/>
      <c r="DB43" s="269"/>
      <c r="DC43" s="10"/>
      <c r="DD43" s="270"/>
      <c r="DE43" s="272"/>
    </row>
    <row r="44" spans="1:111" ht="45" customHeight="1">
      <c r="A44" s="27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82"/>
      <c r="BK44" s="82"/>
      <c r="BL44" s="82"/>
      <c r="BN44" s="39">
        <f t="shared" si="1"/>
        <v>40</v>
      </c>
      <c r="BO44" s="354" t="str" cm="1">
        <f t="array" ref="BO44" xml:space="preserve"> INDEX(_xlfn.ANCHORARRAY($D$17), 1, $BN44)</f>
        <v>G</v>
      </c>
      <c r="BP44" s="351" t="str" cm="1">
        <f t="array" ref="BP44" xml:space="preserve"> INDEX(_xlfn.ANCHORARRAY($D$18), 1, $BN44)</f>
        <v>/</v>
      </c>
      <c r="BQ44" s="269" t="str" cm="1">
        <f t="array" ref="BQ44" xml:space="preserve"> INDEX(_xlfn.ANCHORARRAY($D$19), 1, $BN44)</f>
        <v>ㆭ</v>
      </c>
      <c r="BR44" s="355" t="str" cm="1">
        <f t="array" ref="BR44" xml:space="preserve"> INDEX(_xlfn.ANCHORARRAY($D$20), 1, $BN44)</f>
        <v>ng</v>
      </c>
      <c r="BS44" s="356" t="str" cm="1">
        <f t="array" ref="BS44" xml:space="preserve"> INDEX(注音編碼對照表[聲韻調], MATCH(TRUE, EXACT($BP44, 注音編碼對照表[鍵盤按鍵]), 0))</f>
        <v>韻</v>
      </c>
      <c r="BT44" s="357">
        <f t="shared" si="2"/>
        <v>2</v>
      </c>
      <c r="BV44" s="123" t="str">
        <f t="shared" si="3"/>
        <v xml:space="preserve">    "/": { commit: "ㆭ" }  # /ng/ ==&gt; G</v>
      </c>
      <c r="BW44" s="40"/>
      <c r="BX44" s="39">
        <f t="shared" si="4"/>
        <v>40</v>
      </c>
      <c r="BY44" s="332"/>
      <c r="BZ44" s="271"/>
      <c r="CA44" s="269"/>
      <c r="CB44" s="10"/>
      <c r="CC44" s="270"/>
      <c r="CD44" s="272"/>
      <c r="CG44" s="39">
        <f t="shared" si="5"/>
        <v>40</v>
      </c>
      <c r="CH44" s="332"/>
      <c r="CI44" s="271"/>
      <c r="CJ44" s="269"/>
      <c r="CK44" s="10"/>
      <c r="CL44" s="270"/>
      <c r="CM44" s="272"/>
      <c r="CP44" s="39">
        <f t="shared" si="7"/>
        <v>40</v>
      </c>
      <c r="CQ44" s="332"/>
      <c r="CR44" s="271"/>
      <c r="CS44" s="269"/>
      <c r="CT44" s="10"/>
      <c r="CU44" s="270"/>
      <c r="CV44" s="272"/>
      <c r="CX44" s="242" t="str">
        <f t="shared" si="39"/>
        <v/>
      </c>
      <c r="CY44" s="39">
        <f t="shared" si="9"/>
        <v>40</v>
      </c>
      <c r="CZ44" s="332"/>
      <c r="DA44" s="271"/>
      <c r="DB44" s="269"/>
      <c r="DC44" s="10"/>
      <c r="DD44" s="270"/>
      <c r="DE44" s="272"/>
    </row>
    <row r="45" spans="1:111" ht="45" customHeight="1">
      <c r="B45" s="74" t="s">
        <v>299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82"/>
      <c r="BK45" s="82"/>
      <c r="BL45" s="82"/>
      <c r="BN45" s="39">
        <f t="shared" si="1"/>
        <v>41</v>
      </c>
      <c r="BO45" s="354" t="str" cm="1">
        <f t="array" ref="BO45" xml:space="preserve"> INDEX(_xlfn.ANCHORARRAY($D$17), 1, $BN45)</f>
        <v>Y</v>
      </c>
      <c r="BP45" s="351" t="str" cm="1">
        <f t="array" ref="BP45" xml:space="preserve"> INDEX(_xlfn.ANCHORARRAY($D$18), 1, $BN45)</f>
        <v>M</v>
      </c>
      <c r="BQ45" s="269" t="str" cm="1">
        <f t="array" ref="BQ45" xml:space="preserve"> INDEX(_xlfn.ANCHORARRAY($D$19), 1, $BN45)</f>
        <v>ㆰ</v>
      </c>
      <c r="BR45" s="355" t="str" cm="1">
        <f t="array" ref="BR45" xml:space="preserve"> INDEX(_xlfn.ANCHORARRAY($D$20), 1, $BN45)</f>
        <v>am</v>
      </c>
      <c r="BS45" s="356" t="str" cm="1">
        <f t="array" ref="BS45" xml:space="preserve"> INDEX(注音編碼對照表[聲韻調], MATCH(TRUE, EXACT($BP45, 注音編碼對照表[鍵盤按鍵]), 0))</f>
        <v>韻</v>
      </c>
      <c r="BT45" s="357">
        <f t="shared" si="2"/>
        <v>2</v>
      </c>
      <c r="BV45" s="123" t="str">
        <f t="shared" si="3"/>
        <v xml:space="preserve">    "M": { commit: "ㆰ" }  # /am/ ==&gt; Y</v>
      </c>
      <c r="BW45" s="40"/>
      <c r="BX45" s="39">
        <f t="shared" si="4"/>
        <v>41</v>
      </c>
      <c r="BY45" s="332"/>
      <c r="BZ45" s="271"/>
      <c r="CA45" s="269"/>
      <c r="CB45" s="10"/>
      <c r="CC45" s="270"/>
      <c r="CD45" s="272"/>
      <c r="CG45" s="39">
        <f t="shared" si="5"/>
        <v>41</v>
      </c>
      <c r="CH45" s="332"/>
      <c r="CI45" s="271"/>
      <c r="CJ45" s="269"/>
      <c r="CK45" s="10"/>
      <c r="CL45" s="270"/>
      <c r="CM45" s="272"/>
      <c r="CP45" s="39">
        <f t="shared" si="7"/>
        <v>41</v>
      </c>
      <c r="CQ45" s="332"/>
      <c r="CR45" s="271"/>
      <c r="CS45" s="269"/>
      <c r="CT45" s="10"/>
      <c r="CU45" s="270"/>
      <c r="CV45" s="272"/>
      <c r="CX45" s="242" t="str">
        <f t="shared" si="39"/>
        <v/>
      </c>
      <c r="CY45" s="39">
        <f t="shared" si="9"/>
        <v>41</v>
      </c>
      <c r="CZ45" s="332"/>
      <c r="DA45" s="271"/>
      <c r="DB45" s="269"/>
      <c r="DC45" s="10"/>
      <c r="DD45" s="270"/>
      <c r="DE45" s="272"/>
    </row>
    <row r="46" spans="1:111" ht="45" customHeight="1">
      <c r="B46" s="64" t="s">
        <v>300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5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1"/>
      <c r="AI46" s="61"/>
      <c r="AJ46" s="61"/>
      <c r="AK46" s="61"/>
      <c r="AL46" s="61"/>
      <c r="AM46" s="18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82"/>
      <c r="BK46" s="82"/>
      <c r="BL46" s="82"/>
      <c r="BN46" s="39">
        <f t="shared" si="1"/>
        <v>42</v>
      </c>
      <c r="BO46" s="354" t="str" cm="1">
        <f t="array" ref="BO46" xml:space="preserve"> INDEX(_xlfn.ANCHORARRAY($D$17), 1, $BN46)</f>
        <v>@</v>
      </c>
      <c r="BP46" s="351" t="str" cm="1">
        <f t="array" ref="BP46" xml:space="preserve"> INDEX(_xlfn.ANCHORARRAY($D$18), 1, $BN46)</f>
        <v>0</v>
      </c>
      <c r="BQ46" s="269" t="str" cm="1">
        <f t="array" ref="BQ46" xml:space="preserve"> INDEX(_xlfn.ANCHORARRAY($D$19), 1, $BN46)</f>
        <v>ㄢ</v>
      </c>
      <c r="BR46" s="355" t="str" cm="1">
        <f t="array" ref="BR46" xml:space="preserve"> INDEX(_xlfn.ANCHORARRAY($D$20), 1, $BN46)</f>
        <v>an</v>
      </c>
      <c r="BS46" s="356" t="str" cm="1">
        <f t="array" ref="BS46" xml:space="preserve"> INDEX(注音編碼對照表[聲韻調], MATCH(TRUE, EXACT($BP46, 注音編碼對照表[鍵盤按鍵]), 0))</f>
        <v>韻</v>
      </c>
      <c r="BT46" s="357">
        <f t="shared" si="2"/>
        <v>2</v>
      </c>
      <c r="BV46" s="123" t="str">
        <f t="shared" si="3"/>
        <v xml:space="preserve">    "0": { commit: "ㄢ" }  # /an/ ==&gt; @</v>
      </c>
      <c r="BW46" s="40"/>
      <c r="BX46" s="39">
        <f t="shared" si="4"/>
        <v>42</v>
      </c>
      <c r="BY46" s="332"/>
      <c r="BZ46" s="271"/>
      <c r="CA46" s="269"/>
      <c r="CB46" s="10"/>
      <c r="CC46" s="270"/>
      <c r="CD46" s="272"/>
      <c r="CG46" s="39">
        <f t="shared" si="5"/>
        <v>42</v>
      </c>
      <c r="CH46" s="332"/>
      <c r="CI46" s="271"/>
      <c r="CJ46" s="269"/>
      <c r="CK46" s="10"/>
      <c r="CL46" s="270"/>
      <c r="CM46" s="272"/>
      <c r="CP46" s="39">
        <f t="shared" si="7"/>
        <v>42</v>
      </c>
      <c r="CQ46" s="332"/>
      <c r="CR46" s="271"/>
      <c r="CS46" s="269"/>
      <c r="CT46" s="10"/>
      <c r="CU46" s="270"/>
      <c r="CV46" s="272"/>
      <c r="CX46" s="242" t="str">
        <f t="shared" si="39"/>
        <v/>
      </c>
      <c r="CY46" s="39">
        <f t="shared" si="9"/>
        <v>42</v>
      </c>
      <c r="CZ46" s="332"/>
      <c r="DA46" s="271"/>
      <c r="DB46" s="269"/>
      <c r="DC46" s="10"/>
      <c r="DD46" s="270"/>
      <c r="DE46" s="272"/>
    </row>
    <row r="47" spans="1:111" ht="45" customHeight="1">
      <c r="B47" s="75" t="s">
        <v>565</v>
      </c>
      <c r="C47" s="76"/>
      <c r="D47" s="76">
        <f xml:space="preserve"> LEN(E47)</f>
        <v>60</v>
      </c>
      <c r="E47" s="77" t="str">
        <f xml:space="preserve"> _xlfn.CONCAT(D18:BK18)</f>
        <v>a!1qs2wxNEedYyhnRrfvc8uKj,ik9l*UJ&lt;I(Lmp/M0;Oobtgz:5346[]7.?-</v>
      </c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82"/>
      <c r="BK47" s="82"/>
      <c r="BL47" s="82"/>
      <c r="BN47" s="39">
        <f t="shared" si="1"/>
        <v>43</v>
      </c>
      <c r="BO47" s="354" t="str" cm="1">
        <f t="array" ref="BO47" xml:space="preserve"> INDEX(_xlfn.ANCHORARRAY($D$17), 1, $BN47)</f>
        <v>A</v>
      </c>
      <c r="BP47" s="351" t="str" cm="1">
        <f t="array" ref="BP47" xml:space="preserve"> INDEX(_xlfn.ANCHORARRAY($D$18), 1, $BN47)</f>
        <v>;</v>
      </c>
      <c r="BQ47" s="269" t="str" cm="1">
        <f t="array" ref="BQ47" xml:space="preserve"> INDEX(_xlfn.ANCHORARRAY($D$19), 1, $BN47)</f>
        <v>ㄤ</v>
      </c>
      <c r="BR47" s="355" t="str" cm="1">
        <f t="array" ref="BR47" xml:space="preserve"> INDEX(_xlfn.ANCHORARRAY($D$20), 1, $BN47)</f>
        <v>ang</v>
      </c>
      <c r="BS47" s="356" t="str" cm="1">
        <f t="array" ref="BS47" xml:space="preserve"> INDEX(注音編碼對照表[聲韻調], MATCH(TRUE, EXACT($BP47, 注音編碼對照表[鍵盤按鍵]), 0))</f>
        <v>韻</v>
      </c>
      <c r="BT47" s="357">
        <f t="shared" si="2"/>
        <v>3</v>
      </c>
      <c r="BV47" s="123" t="str">
        <f t="shared" si="3"/>
        <v xml:space="preserve">    ";": { commit: "ㄤ" }  # /ang/ ==&gt; A</v>
      </c>
      <c r="BX47" s="39">
        <f t="shared" si="4"/>
        <v>43</v>
      </c>
      <c r="BY47" s="332"/>
      <c r="BZ47" s="271"/>
      <c r="CA47" s="269"/>
      <c r="CB47" s="10"/>
      <c r="CC47" s="270"/>
      <c r="CD47" s="272"/>
      <c r="CG47" s="39">
        <f t="shared" si="5"/>
        <v>43</v>
      </c>
      <c r="CH47" s="332"/>
      <c r="CI47" s="271"/>
      <c r="CJ47" s="269"/>
      <c r="CK47" s="10"/>
      <c r="CL47" s="270"/>
      <c r="CM47" s="272"/>
      <c r="CP47" s="39">
        <f t="shared" si="7"/>
        <v>43</v>
      </c>
      <c r="CQ47" s="332"/>
      <c r="CR47" s="271"/>
      <c r="CS47" s="269"/>
      <c r="CT47" s="10"/>
      <c r="CU47" s="270"/>
      <c r="CV47" s="272"/>
      <c r="CX47" s="242" t="str">
        <f t="shared" si="39"/>
        <v/>
      </c>
      <c r="CY47" s="39">
        <f t="shared" si="9"/>
        <v>43</v>
      </c>
      <c r="CZ47" s="332"/>
      <c r="DA47" s="271"/>
      <c r="DB47" s="269"/>
      <c r="DC47" s="10"/>
      <c r="DD47" s="270"/>
      <c r="DE47" s="272"/>
    </row>
    <row r="48" spans="1:111" ht="45" customHeight="1">
      <c r="B48" s="265" t="s">
        <v>583</v>
      </c>
      <c r="C48" s="79"/>
      <c r="D48" s="79">
        <f>LEN(E48)</f>
        <v>60</v>
      </c>
      <c r="E48" s="78" t="str">
        <f xml:space="preserve"> _xlfn.CONCAT(D19:BK19)</f>
        <v>ㄇㆠㄅㄆㄋㄉㄊㄌㄫㆣㄍㄎㆡㄗㄘㄙㆢㄐㄑㄒㄏㄚㄧㆨㄨㆤㆦㄜㄞㄠㆩㆪㆫㆥㆧㆮㆯㆬㄣㆭㆰㄢㄤㆱㆲㆴㆵㆻㆷˉ^ˋˇˊˉˊ˙入ㄥñ</v>
      </c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82"/>
      <c r="BK48" s="82"/>
      <c r="BL48" s="82"/>
      <c r="BN48" s="39">
        <f t="shared" si="1"/>
        <v>44</v>
      </c>
      <c r="BO48" s="354" t="str" cm="1">
        <f t="array" ref="BO48" xml:space="preserve"> INDEX(_xlfn.ANCHORARRAY($D$17), 1, $BN48)</f>
        <v>W</v>
      </c>
      <c r="BP48" s="351" t="str" cm="1">
        <f t="array" ref="BP48" xml:space="preserve"> INDEX(_xlfn.ANCHORARRAY($D$18), 1, $BN48)</f>
        <v>O</v>
      </c>
      <c r="BQ48" s="269" t="str" cm="1">
        <f t="array" ref="BQ48" xml:space="preserve"> INDEX(_xlfn.ANCHORARRAY($D$19), 1, $BN48)</f>
        <v>ㆱ</v>
      </c>
      <c r="BR48" s="355" t="str" cm="1">
        <f t="array" ref="BR48" xml:space="preserve"> INDEX(_xlfn.ANCHORARRAY($D$20), 1, $BN48)</f>
        <v>om</v>
      </c>
      <c r="BS48" s="356" t="str" cm="1">
        <f t="array" ref="BS48" xml:space="preserve"> INDEX(注音編碼對照表[聲韻調], MATCH(TRUE, EXACT($BP48, 注音編碼對照表[鍵盤按鍵]), 0))</f>
        <v>韻</v>
      </c>
      <c r="BT48" s="357">
        <f t="shared" si="2"/>
        <v>2</v>
      </c>
      <c r="BV48" s="123" t="str">
        <f t="shared" si="3"/>
        <v xml:space="preserve">    "O": { commit: "ㆱ" }  # /om/ ==&gt; W</v>
      </c>
      <c r="BX48" s="39">
        <f t="shared" si="4"/>
        <v>44</v>
      </c>
      <c r="BY48" s="332"/>
      <c r="BZ48" s="271"/>
      <c r="CA48" s="269"/>
      <c r="CB48" s="10"/>
      <c r="CC48" s="270"/>
      <c r="CD48" s="272"/>
      <c r="CG48" s="39">
        <f t="shared" si="5"/>
        <v>44</v>
      </c>
      <c r="CH48" s="332"/>
      <c r="CI48" s="271"/>
      <c r="CJ48" s="269"/>
      <c r="CK48" s="10"/>
      <c r="CL48" s="270"/>
      <c r="CM48" s="272"/>
      <c r="CP48" s="39">
        <f t="shared" si="7"/>
        <v>44</v>
      </c>
      <c r="CQ48" s="332"/>
      <c r="CR48" s="271"/>
      <c r="CS48" s="269"/>
      <c r="CT48" s="10"/>
      <c r="CU48" s="270"/>
      <c r="CV48" s="272"/>
      <c r="CX48" s="242" t="str">
        <f t="shared" si="39"/>
        <v/>
      </c>
      <c r="CY48" s="39">
        <f t="shared" si="9"/>
        <v>44</v>
      </c>
      <c r="CZ48" s="332"/>
      <c r="DA48" s="271"/>
      <c r="DB48" s="269"/>
      <c r="DC48" s="10"/>
      <c r="DD48" s="270"/>
      <c r="DE48" s="272"/>
    </row>
    <row r="49" spans="1:109" ht="45" customHeight="1">
      <c r="B49" s="72" t="str">
        <f xml:space="preserve"> "    - xlit|" &amp; E47 &amp; "|" &amp; E48 &amp; "|"</f>
        <v xml:space="preserve">    - xlit|a!1qs2wxNEedYyhnRrfvc8uKj,ik9l*UJ&lt;I(Lmp/M0;Oobtgz:5346[]7.?-|ㄇㆠㄅㄆㄋㄉㄊㄌㄫㆣㄍㄎㆡㄗㄘㄙㆢㄐㄑㄒㄏㄚㄧㆨㄨㆤㆦㄜㄞㄠㆩㆪㆫㆥㆧㆮㆯㆬㄣㆭㆰㄢㄤㆱㆲㆴㆵㆻㆷˉ^ˋˇˊˉˊ˙入ㄥñ|</v>
      </c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73"/>
      <c r="AH49" s="73"/>
      <c r="AI49" s="73"/>
      <c r="AJ49" s="73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82"/>
      <c r="BK49" s="82"/>
      <c r="BL49" s="82"/>
      <c r="BN49" s="39">
        <f t="shared" si="1"/>
        <v>45</v>
      </c>
      <c r="BO49" s="354" t="str" cm="1">
        <f t="array" ref="BO49" xml:space="preserve"> INDEX(_xlfn.ANCHORARRAY($D$17), 1, $BN49)</f>
        <v>H</v>
      </c>
      <c r="BP49" s="351" t="str" cm="1">
        <f t="array" ref="BP49" xml:space="preserve"> INDEX(_xlfn.ANCHORARRAY($D$18), 1, $BN49)</f>
        <v>o</v>
      </c>
      <c r="BQ49" s="269" t="str" cm="1">
        <f t="array" ref="BQ49" xml:space="preserve"> INDEX(_xlfn.ANCHORARRAY($D$19), 1, $BN49)</f>
        <v>ㆲ</v>
      </c>
      <c r="BR49" s="355" t="str" cm="1">
        <f t="array" ref="BR49" xml:space="preserve"> INDEX(_xlfn.ANCHORARRAY($D$20), 1, $BN49)</f>
        <v>ong</v>
      </c>
      <c r="BS49" s="356" t="str" cm="1">
        <f t="array" ref="BS49" xml:space="preserve"> INDEX(注音編碼對照表[聲韻調], MATCH(TRUE, EXACT($BP49, 注音編碼對照表[鍵盤按鍵]), 0))</f>
        <v>韻</v>
      </c>
      <c r="BT49" s="357">
        <f t="shared" si="2"/>
        <v>3</v>
      </c>
      <c r="BV49" s="123" t="str">
        <f t="shared" si="3"/>
        <v xml:space="preserve">    "o": { commit: "ㆲ" }  # /ong/ ==&gt; H</v>
      </c>
      <c r="BX49" s="39">
        <f t="shared" si="4"/>
        <v>45</v>
      </c>
      <c r="BY49" s="332"/>
      <c r="BZ49" s="271"/>
      <c r="CA49" s="269"/>
      <c r="CB49" s="10"/>
      <c r="CC49" s="270"/>
      <c r="CD49" s="272"/>
      <c r="CG49" s="39">
        <f t="shared" si="5"/>
        <v>45</v>
      </c>
      <c r="CH49" s="332"/>
      <c r="CI49" s="271"/>
      <c r="CJ49" s="269"/>
      <c r="CK49" s="10"/>
      <c r="CL49" s="270"/>
      <c r="CM49" s="272"/>
      <c r="CP49" s="39">
        <f t="shared" si="7"/>
        <v>45</v>
      </c>
      <c r="CQ49" s="332"/>
      <c r="CR49" s="271"/>
      <c r="CS49" s="269"/>
      <c r="CT49" s="10"/>
      <c r="CU49" s="270"/>
      <c r="CV49" s="272"/>
      <c r="CX49" s="242" t="str">
        <f t="shared" si="39"/>
        <v/>
      </c>
      <c r="CY49" s="39">
        <f t="shared" si="9"/>
        <v>45</v>
      </c>
      <c r="CZ49" s="332"/>
      <c r="DA49" s="271"/>
      <c r="DB49" s="269"/>
      <c r="DC49" s="10"/>
      <c r="DD49" s="270"/>
      <c r="DE49" s="272"/>
    </row>
    <row r="50" spans="1:109" ht="45" customHeight="1"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361" t="str">
        <f xml:space="preserve"> _xlfn.CONCAT(AY54:BF54)</f>
        <v>ˉ^ˋˇˊˉˊ˙</v>
      </c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82"/>
      <c r="BK50" s="82"/>
      <c r="BL50" s="82"/>
      <c r="BN50" s="39">
        <f t="shared" si="1"/>
        <v>46</v>
      </c>
      <c r="BO50" s="354" t="str" cm="1">
        <f t="array" ref="BO50" xml:space="preserve"> INDEX(_xlfn.ANCHORARRAY($D$17), 1, $BN50)</f>
        <v>P</v>
      </c>
      <c r="BP50" s="351" t="str" cm="1">
        <f t="array" ref="BP50" xml:space="preserve"> INDEX(_xlfn.ANCHORARRAY($D$18), 1, $BN50)</f>
        <v>b</v>
      </c>
      <c r="BQ50" s="269" t="str" cm="1">
        <f t="array" ref="BQ50" xml:space="preserve"> INDEX(_xlfn.ANCHORARRAY($D$19), 1, $BN50)</f>
        <v>ㆴ</v>
      </c>
      <c r="BR50" s="355" t="str" cm="1">
        <f t="array" ref="BR50" xml:space="preserve"> INDEX(_xlfn.ANCHORARRAY($D$20), 1, $BN50)</f>
        <v>p</v>
      </c>
      <c r="BS50" s="356" t="str" cm="1">
        <f t="array" ref="BS50" xml:space="preserve"> INDEX(注音編碼對照表[聲韻調], MATCH(TRUE, EXACT($BP50, 注音編碼對照表[鍵盤按鍵]), 0))</f>
        <v>韻尾</v>
      </c>
      <c r="BT50" s="357">
        <f t="shared" si="2"/>
        <v>1</v>
      </c>
      <c r="BV50" s="123" t="str">
        <f t="shared" si="3"/>
        <v xml:space="preserve">    "b": { commit: "ㆴ" }  # /p/ ==&gt; P</v>
      </c>
      <c r="BX50" s="39">
        <f t="shared" si="4"/>
        <v>46</v>
      </c>
      <c r="BY50" s="332"/>
      <c r="BZ50" s="271"/>
      <c r="CA50" s="269"/>
      <c r="CB50" s="10"/>
      <c r="CC50" s="270"/>
      <c r="CD50" s="272"/>
      <c r="CG50" s="39">
        <f t="shared" si="5"/>
        <v>46</v>
      </c>
      <c r="CH50" s="332"/>
      <c r="CI50" s="271"/>
      <c r="CJ50" s="269"/>
      <c r="CK50" s="10"/>
      <c r="CL50" s="270"/>
      <c r="CM50" s="272"/>
      <c r="CP50" s="39">
        <f t="shared" si="7"/>
        <v>46</v>
      </c>
      <c r="CQ50" s="332"/>
      <c r="CR50" s="271"/>
      <c r="CS50" s="269"/>
      <c r="CT50" s="10"/>
      <c r="CU50" s="270"/>
      <c r="CV50" s="272"/>
      <c r="CX50" s="242" t="str">
        <f t="shared" si="39"/>
        <v/>
      </c>
      <c r="CY50" s="39">
        <f t="shared" si="9"/>
        <v>46</v>
      </c>
      <c r="CZ50" s="332"/>
      <c r="DA50" s="271"/>
      <c r="DB50" s="269"/>
      <c r="DC50" s="10"/>
      <c r="DD50" s="270"/>
      <c r="DE50" s="272"/>
    </row>
    <row r="51" spans="1:109" ht="45" customHeight="1">
      <c r="A51" s="61"/>
      <c r="BJ51" s="82"/>
      <c r="BK51" s="82"/>
      <c r="BL51" s="82"/>
      <c r="BN51" s="39">
        <f t="shared" si="1"/>
        <v>47</v>
      </c>
      <c r="BO51" s="354" t="str" cm="1">
        <f t="array" ref="BO51" xml:space="preserve"> INDEX(_xlfn.ANCHORARRAY($D$17), 1, $BN51)</f>
        <v>T</v>
      </c>
      <c r="BP51" s="351" t="str" cm="1">
        <f t="array" ref="BP51" xml:space="preserve"> INDEX(_xlfn.ANCHORARRAY($D$18), 1, $BN51)</f>
        <v>t</v>
      </c>
      <c r="BQ51" s="269" t="str" cm="1">
        <f t="array" ref="BQ51" xml:space="preserve"> INDEX(_xlfn.ANCHORARRAY($D$19), 1, $BN51)</f>
        <v>ㆵ</v>
      </c>
      <c r="BR51" s="355" t="str" cm="1">
        <f t="array" ref="BR51" xml:space="preserve"> INDEX(_xlfn.ANCHORARRAY($D$20), 1, $BN51)</f>
        <v>t</v>
      </c>
      <c r="BS51" s="356" t="str" cm="1">
        <f t="array" ref="BS51" xml:space="preserve"> INDEX(注音編碼對照表[聲韻調], MATCH(TRUE, EXACT($BP51, 注音編碼對照表[鍵盤按鍵]), 0))</f>
        <v>韻尾</v>
      </c>
      <c r="BT51" s="357">
        <f t="shared" si="2"/>
        <v>1</v>
      </c>
      <c r="BV51" s="123" t="str">
        <f t="shared" si="3"/>
        <v xml:space="preserve">    "t": { commit: "ㆵ" }  # /t/ ==&gt; T</v>
      </c>
      <c r="BX51" s="39">
        <f t="shared" si="4"/>
        <v>47</v>
      </c>
      <c r="BY51" s="332"/>
      <c r="BZ51" s="271"/>
      <c r="CA51" s="269"/>
      <c r="CB51" s="10"/>
      <c r="CC51" s="270"/>
      <c r="CD51" s="272"/>
      <c r="CG51" s="39">
        <f t="shared" si="5"/>
        <v>47</v>
      </c>
      <c r="CH51" s="332"/>
      <c r="CI51" s="271"/>
      <c r="CJ51" s="269"/>
      <c r="CK51" s="10"/>
      <c r="CL51" s="270"/>
      <c r="CM51" s="272"/>
      <c r="CP51" s="39">
        <f t="shared" si="7"/>
        <v>47</v>
      </c>
      <c r="CQ51" s="332"/>
      <c r="CR51" s="271"/>
      <c r="CS51" s="269"/>
      <c r="CT51" s="10"/>
      <c r="CU51" s="270"/>
      <c r="CV51" s="272"/>
      <c r="CX51" s="242" t="str">
        <f t="shared" si="39"/>
        <v/>
      </c>
      <c r="CY51" s="39">
        <f t="shared" si="9"/>
        <v>47</v>
      </c>
      <c r="CZ51" s="332"/>
      <c r="DA51" s="271"/>
      <c r="DB51" s="269"/>
      <c r="DC51" s="10"/>
      <c r="DD51" s="270"/>
      <c r="DE51" s="272"/>
    </row>
    <row r="52" spans="1:109" ht="45" customHeight="1">
      <c r="B52" s="283">
        <v>1</v>
      </c>
      <c r="C52" s="283">
        <v>2</v>
      </c>
      <c r="D52" s="283">
        <v>3</v>
      </c>
      <c r="E52" s="283">
        <v>4</v>
      </c>
      <c r="F52" s="283">
        <v>5</v>
      </c>
      <c r="G52" s="283">
        <v>6</v>
      </c>
      <c r="H52" s="283">
        <v>7</v>
      </c>
      <c r="I52" s="283">
        <v>8</v>
      </c>
      <c r="J52" s="283">
        <v>9</v>
      </c>
      <c r="K52" s="283">
        <v>10</v>
      </c>
      <c r="L52" s="283">
        <v>11</v>
      </c>
      <c r="M52" s="283">
        <v>12</v>
      </c>
      <c r="N52" s="283">
        <v>13</v>
      </c>
      <c r="O52" s="283">
        <v>14</v>
      </c>
      <c r="P52" s="283">
        <v>15</v>
      </c>
      <c r="Q52" s="283">
        <v>16</v>
      </c>
      <c r="R52" s="283">
        <v>17</v>
      </c>
      <c r="S52" s="284">
        <v>18</v>
      </c>
      <c r="T52" s="283">
        <v>19</v>
      </c>
      <c r="U52" s="283">
        <v>20</v>
      </c>
      <c r="V52" s="283">
        <v>21</v>
      </c>
      <c r="W52" s="283">
        <v>22</v>
      </c>
      <c r="X52" s="283">
        <v>23</v>
      </c>
      <c r="Y52" s="283">
        <v>24</v>
      </c>
      <c r="Z52" s="283">
        <v>25</v>
      </c>
      <c r="AA52" s="283">
        <v>26</v>
      </c>
      <c r="AB52" s="283">
        <v>27</v>
      </c>
      <c r="AC52" s="283">
        <v>28</v>
      </c>
      <c r="AD52" s="283">
        <v>29</v>
      </c>
      <c r="AE52" s="283">
        <v>30</v>
      </c>
      <c r="AF52" s="283">
        <v>31</v>
      </c>
      <c r="AG52" s="283">
        <v>32</v>
      </c>
      <c r="AH52" s="285">
        <v>33</v>
      </c>
      <c r="AI52" s="285">
        <v>34</v>
      </c>
      <c r="AJ52" s="285">
        <v>35</v>
      </c>
      <c r="AK52" s="285">
        <v>36</v>
      </c>
      <c r="AL52" s="286">
        <v>37</v>
      </c>
      <c r="AM52" s="285">
        <v>38</v>
      </c>
      <c r="AN52" s="285">
        <v>39</v>
      </c>
      <c r="AO52" s="285">
        <v>40</v>
      </c>
      <c r="AP52" s="285">
        <v>41</v>
      </c>
      <c r="AQ52" s="285">
        <v>42</v>
      </c>
      <c r="AR52" s="285">
        <v>43</v>
      </c>
      <c r="AS52" s="285">
        <v>44</v>
      </c>
      <c r="AT52" s="285">
        <v>45</v>
      </c>
      <c r="AU52" s="285">
        <v>46</v>
      </c>
      <c r="AV52" s="285">
        <v>47</v>
      </c>
      <c r="AW52" s="285">
        <v>48</v>
      </c>
      <c r="AX52" s="285">
        <v>49</v>
      </c>
      <c r="AY52" s="285">
        <v>50</v>
      </c>
      <c r="AZ52" s="285">
        <v>51</v>
      </c>
      <c r="BA52" s="285">
        <v>52</v>
      </c>
      <c r="BB52" s="285">
        <v>53</v>
      </c>
      <c r="BC52" s="285">
        <v>54</v>
      </c>
      <c r="BD52" s="285">
        <v>55</v>
      </c>
      <c r="BE52" s="285">
        <v>56</v>
      </c>
      <c r="BF52" s="285">
        <v>57</v>
      </c>
      <c r="BG52" s="285">
        <v>58</v>
      </c>
      <c r="BH52" s="285">
        <v>59</v>
      </c>
      <c r="BI52" s="285">
        <v>60</v>
      </c>
      <c r="BJ52" s="82"/>
      <c r="BK52" s="82"/>
      <c r="BL52" s="82"/>
      <c r="BN52" s="39">
        <f t="shared" si="1"/>
        <v>48</v>
      </c>
      <c r="BO52" s="354" t="str" cm="1">
        <f t="array" ref="BO52" xml:space="preserve"> INDEX(_xlfn.ANCHORARRAY($D$17), 1, $BN52)</f>
        <v>K</v>
      </c>
      <c r="BP52" s="351" t="str" cm="1">
        <f t="array" ref="BP52" xml:space="preserve"> INDEX(_xlfn.ANCHORARRAY($D$18), 1, $BN52)</f>
        <v>g</v>
      </c>
      <c r="BQ52" s="269" t="str" cm="1">
        <f t="array" ref="BQ52" xml:space="preserve"> INDEX(_xlfn.ANCHORARRAY($D$19), 1, $BN52)</f>
        <v>ㆻ</v>
      </c>
      <c r="BR52" s="355" t="str" cm="1">
        <f t="array" ref="BR52" xml:space="preserve"> INDEX(_xlfn.ANCHORARRAY($D$20), 1, $BN52)</f>
        <v>k</v>
      </c>
      <c r="BS52" s="356" t="str" cm="1">
        <f t="array" ref="BS52" xml:space="preserve"> INDEX(注音編碼對照表[聲韻調], MATCH(TRUE, EXACT($BP52, 注音編碼對照表[鍵盤按鍵]), 0))</f>
        <v>韻尾</v>
      </c>
      <c r="BT52" s="357">
        <f t="shared" si="2"/>
        <v>1</v>
      </c>
      <c r="BV52" s="123" t="str">
        <f t="shared" si="3"/>
        <v xml:space="preserve">    "g": { commit: "ㆻ" }  # /k/ ==&gt; K</v>
      </c>
      <c r="BX52" s="39">
        <f t="shared" si="4"/>
        <v>48</v>
      </c>
      <c r="BY52" s="332"/>
      <c r="BZ52" s="271"/>
      <c r="CA52" s="269"/>
      <c r="CB52" s="10"/>
      <c r="CC52" s="270"/>
      <c r="CD52" s="272"/>
      <c r="CG52" s="39">
        <f t="shared" si="5"/>
        <v>48</v>
      </c>
      <c r="CH52" s="332"/>
      <c r="CI52" s="271"/>
      <c r="CJ52" s="269"/>
      <c r="CK52" s="10"/>
      <c r="CL52" s="270"/>
      <c r="CM52" s="272"/>
      <c r="CP52" s="39">
        <f t="shared" si="7"/>
        <v>48</v>
      </c>
      <c r="CQ52" s="332"/>
      <c r="CR52" s="271"/>
      <c r="CS52" s="269"/>
      <c r="CT52" s="10"/>
      <c r="CU52" s="270"/>
      <c r="CV52" s="272"/>
      <c r="CX52" s="242" t="str">
        <f t="shared" si="39"/>
        <v/>
      </c>
      <c r="CY52" s="39">
        <f t="shared" si="9"/>
        <v>48</v>
      </c>
      <c r="CZ52" s="332"/>
      <c r="DA52" s="271"/>
      <c r="DB52" s="269"/>
      <c r="DC52" s="10"/>
      <c r="DD52" s="270"/>
      <c r="DE52" s="272"/>
    </row>
    <row r="53" spans="1:109" ht="45" customHeight="1">
      <c r="A53" s="295"/>
      <c r="B53" s="297" t="str">
        <f xml:space="preserve"> MID($E$47, B$40, 1)</f>
        <v>a</v>
      </c>
      <c r="C53" s="297" t="str">
        <f t="shared" ref="C53:BI53" si="42" xml:space="preserve"> MID($E$47, C$40, 1)</f>
        <v>!</v>
      </c>
      <c r="D53" s="297" t="str">
        <f t="shared" si="42"/>
        <v>1</v>
      </c>
      <c r="E53" s="297" t="str">
        <f t="shared" si="42"/>
        <v>q</v>
      </c>
      <c r="F53" s="297" t="str">
        <f t="shared" si="42"/>
        <v>s</v>
      </c>
      <c r="G53" s="297" t="str">
        <f t="shared" si="42"/>
        <v>2</v>
      </c>
      <c r="H53" s="297" t="str">
        <f t="shared" si="42"/>
        <v>w</v>
      </c>
      <c r="I53" s="297" t="str">
        <f t="shared" si="42"/>
        <v>x</v>
      </c>
      <c r="J53" s="297" t="str">
        <f t="shared" si="42"/>
        <v>N</v>
      </c>
      <c r="K53" s="297" t="str">
        <f t="shared" si="42"/>
        <v>E</v>
      </c>
      <c r="L53" s="297" t="str">
        <f t="shared" si="42"/>
        <v>e</v>
      </c>
      <c r="M53" s="297" t="str">
        <f t="shared" si="42"/>
        <v>d</v>
      </c>
      <c r="N53" s="297" t="str">
        <f t="shared" si="42"/>
        <v>Y</v>
      </c>
      <c r="O53" s="297" t="str">
        <f t="shared" si="42"/>
        <v>y</v>
      </c>
      <c r="P53" s="297" t="str">
        <f t="shared" si="42"/>
        <v>h</v>
      </c>
      <c r="Q53" s="297" t="str">
        <f t="shared" si="42"/>
        <v>n</v>
      </c>
      <c r="R53" s="297" t="str">
        <f t="shared" si="42"/>
        <v>R</v>
      </c>
      <c r="S53" s="297" t="str">
        <f t="shared" si="42"/>
        <v>r</v>
      </c>
      <c r="T53" s="297" t="str">
        <f t="shared" si="42"/>
        <v>f</v>
      </c>
      <c r="U53" s="297" t="str">
        <f t="shared" si="42"/>
        <v>v</v>
      </c>
      <c r="V53" s="297" t="str">
        <f t="shared" si="42"/>
        <v>c</v>
      </c>
      <c r="W53" s="297" t="str">
        <f t="shared" si="42"/>
        <v>8</v>
      </c>
      <c r="X53" s="297" t="str">
        <f t="shared" si="42"/>
        <v>u</v>
      </c>
      <c r="Y53" s="297" t="str">
        <f t="shared" si="42"/>
        <v>K</v>
      </c>
      <c r="Z53" s="297" t="str">
        <f t="shared" si="42"/>
        <v>j</v>
      </c>
      <c r="AA53" s="297" t="str">
        <f t="shared" si="42"/>
        <v>,</v>
      </c>
      <c r="AB53" s="297" t="str">
        <f t="shared" si="42"/>
        <v>i</v>
      </c>
      <c r="AC53" s="297" t="str">
        <f t="shared" si="42"/>
        <v>k</v>
      </c>
      <c r="AD53" s="297" t="str">
        <f t="shared" si="42"/>
        <v>9</v>
      </c>
      <c r="AE53" s="297" t="str">
        <f t="shared" si="42"/>
        <v>l</v>
      </c>
      <c r="AF53" s="297" t="str">
        <f t="shared" si="42"/>
        <v>*</v>
      </c>
      <c r="AG53" s="297" t="str">
        <f t="shared" si="42"/>
        <v>U</v>
      </c>
      <c r="AH53" s="297" t="str">
        <f t="shared" si="42"/>
        <v>J</v>
      </c>
      <c r="AI53" s="297" t="str">
        <f t="shared" si="42"/>
        <v>&lt;</v>
      </c>
      <c r="AJ53" s="297" t="str">
        <f t="shared" si="42"/>
        <v>I</v>
      </c>
      <c r="AK53" s="297" t="str">
        <f t="shared" si="42"/>
        <v>(</v>
      </c>
      <c r="AL53" s="297" t="str">
        <f t="shared" si="42"/>
        <v>L</v>
      </c>
      <c r="AM53" s="297" t="str">
        <f t="shared" si="42"/>
        <v>m</v>
      </c>
      <c r="AN53" s="297" t="str">
        <f t="shared" si="42"/>
        <v>p</v>
      </c>
      <c r="AO53" s="297" t="str">
        <f t="shared" si="42"/>
        <v>/</v>
      </c>
      <c r="AP53" s="297" t="str">
        <f t="shared" si="42"/>
        <v>M</v>
      </c>
      <c r="AQ53" s="297" t="str">
        <f t="shared" si="42"/>
        <v>0</v>
      </c>
      <c r="AR53" s="297" t="str">
        <f t="shared" si="42"/>
        <v>;</v>
      </c>
      <c r="AS53" s="297" t="str">
        <f t="shared" si="42"/>
        <v>O</v>
      </c>
      <c r="AT53" s="297" t="str">
        <f t="shared" si="42"/>
        <v>o</v>
      </c>
      <c r="AU53" s="297" t="str">
        <f t="shared" si="42"/>
        <v>b</v>
      </c>
      <c r="AV53" s="297" t="str">
        <f t="shared" si="42"/>
        <v>t</v>
      </c>
      <c r="AW53" s="297" t="str">
        <f t="shared" si="42"/>
        <v>g</v>
      </c>
      <c r="AX53" s="297" t="str">
        <f t="shared" si="42"/>
        <v>z</v>
      </c>
      <c r="AY53" s="297" t="str">
        <f t="shared" si="42"/>
        <v>:</v>
      </c>
      <c r="AZ53" s="297" t="str">
        <f t="shared" si="42"/>
        <v>5</v>
      </c>
      <c r="BA53" s="297" t="str">
        <f t="shared" si="42"/>
        <v>3</v>
      </c>
      <c r="BB53" s="297" t="str">
        <f t="shared" si="42"/>
        <v>4</v>
      </c>
      <c r="BC53" s="297" t="str">
        <f t="shared" si="42"/>
        <v>6</v>
      </c>
      <c r="BD53" s="297" t="str">
        <f t="shared" si="42"/>
        <v>[</v>
      </c>
      <c r="BE53" s="297" t="str">
        <f t="shared" si="42"/>
        <v>]</v>
      </c>
      <c r="BF53" s="297" t="str">
        <f t="shared" si="42"/>
        <v>7</v>
      </c>
      <c r="BG53" s="297" t="str">
        <f t="shared" si="42"/>
        <v>.</v>
      </c>
      <c r="BH53" s="297" t="str">
        <f t="shared" si="42"/>
        <v>?</v>
      </c>
      <c r="BI53" s="297" t="str">
        <f t="shared" si="42"/>
        <v>-</v>
      </c>
      <c r="BJ53" s="82"/>
      <c r="BK53" s="82"/>
      <c r="BL53" s="82"/>
      <c r="BN53" s="39">
        <f t="shared" si="1"/>
        <v>49</v>
      </c>
      <c r="BO53" s="354" t="str" cm="1">
        <f t="array" ref="BO53" xml:space="preserve"> INDEX(_xlfn.ANCHORARRAY($D$17), 1, $BN53)</f>
        <v>V</v>
      </c>
      <c r="BP53" s="351" t="str" cm="1">
        <f t="array" ref="BP53" xml:space="preserve"> INDEX(_xlfn.ANCHORARRAY($D$18), 1, $BN53)</f>
        <v>z</v>
      </c>
      <c r="BQ53" s="269" t="str" cm="1">
        <f t="array" ref="BQ53" xml:space="preserve"> INDEX(_xlfn.ANCHORARRAY($D$19), 1, $BN53)</f>
        <v>ㆷ</v>
      </c>
      <c r="BR53" s="355" t="str" cm="1">
        <f t="array" ref="BR53" xml:space="preserve"> INDEX(_xlfn.ANCHORARRAY($D$20), 1, $BN53)</f>
        <v>h</v>
      </c>
      <c r="BS53" s="356" t="str" cm="1">
        <f t="array" ref="BS53" xml:space="preserve"> INDEX(注音編碼對照表[聲韻調], MATCH(TRUE, EXACT($BP53, 注音編碼對照表[鍵盤按鍵]), 0))</f>
        <v>韻尾</v>
      </c>
      <c r="BT53" s="357">
        <f t="shared" si="2"/>
        <v>1</v>
      </c>
      <c r="BV53" s="123" t="str">
        <f t="shared" si="3"/>
        <v xml:space="preserve">    "z": { commit: "ㆷ" }  # /h/ ==&gt; V</v>
      </c>
      <c r="BX53" s="39">
        <f t="shared" si="4"/>
        <v>49</v>
      </c>
      <c r="BY53" s="332"/>
      <c r="BZ53" s="271"/>
      <c r="CA53" s="269"/>
      <c r="CB53" s="10"/>
      <c r="CC53" s="270"/>
      <c r="CD53" s="272"/>
      <c r="CG53" s="39">
        <f t="shared" si="5"/>
        <v>49</v>
      </c>
      <c r="CH53" s="332"/>
      <c r="CI53" s="271"/>
      <c r="CJ53" s="269"/>
      <c r="CK53" s="10"/>
      <c r="CL53" s="270"/>
      <c r="CM53" s="272"/>
      <c r="CP53" s="39">
        <f t="shared" si="7"/>
        <v>49</v>
      </c>
      <c r="CQ53" s="332"/>
      <c r="CR53" s="271"/>
      <c r="CS53" s="269"/>
      <c r="CT53" s="10"/>
      <c r="CU53" s="270"/>
      <c r="CV53" s="272"/>
      <c r="CX53" s="242" t="str">
        <f t="shared" si="39"/>
        <v/>
      </c>
      <c r="CY53" s="39">
        <f t="shared" si="9"/>
        <v>49</v>
      </c>
      <c r="CZ53" s="332"/>
      <c r="DA53" s="271"/>
      <c r="DB53" s="269"/>
      <c r="DC53" s="10"/>
      <c r="DD53" s="270"/>
      <c r="DE53" s="272"/>
    </row>
    <row r="54" spans="1:109" ht="45" customHeight="1">
      <c r="A54" s="295"/>
      <c r="B54" s="342" t="str">
        <f xml:space="preserve"> MID($E$48, B$40, 1)</f>
        <v>ㄇ</v>
      </c>
      <c r="C54" s="342" t="str">
        <f t="shared" ref="C54:BI54" si="43" xml:space="preserve"> MID($E$48, C$40, 1)</f>
        <v>ㆠ</v>
      </c>
      <c r="D54" s="342" t="str">
        <f t="shared" si="43"/>
        <v>ㄅ</v>
      </c>
      <c r="E54" s="342" t="str">
        <f t="shared" si="43"/>
        <v>ㄆ</v>
      </c>
      <c r="F54" s="342" t="str">
        <f t="shared" si="43"/>
        <v>ㄋ</v>
      </c>
      <c r="G54" s="342" t="str">
        <f t="shared" si="43"/>
        <v>ㄉ</v>
      </c>
      <c r="H54" s="342" t="str">
        <f t="shared" si="43"/>
        <v>ㄊ</v>
      </c>
      <c r="I54" s="342" t="str">
        <f t="shared" si="43"/>
        <v>ㄌ</v>
      </c>
      <c r="J54" s="342" t="str">
        <f t="shared" si="43"/>
        <v>ㄫ</v>
      </c>
      <c r="K54" s="342" t="str">
        <f t="shared" si="43"/>
        <v>ㆣ</v>
      </c>
      <c r="L54" s="342" t="str">
        <f t="shared" si="43"/>
        <v>ㄍ</v>
      </c>
      <c r="M54" s="342" t="str">
        <f t="shared" si="43"/>
        <v>ㄎ</v>
      </c>
      <c r="N54" s="342" t="str">
        <f t="shared" si="43"/>
        <v>ㆡ</v>
      </c>
      <c r="O54" s="342" t="str">
        <f t="shared" si="43"/>
        <v>ㄗ</v>
      </c>
      <c r="P54" s="342" t="str">
        <f t="shared" si="43"/>
        <v>ㄘ</v>
      </c>
      <c r="Q54" s="342" t="str">
        <f t="shared" si="43"/>
        <v>ㄙ</v>
      </c>
      <c r="R54" s="342" t="str">
        <f t="shared" si="43"/>
        <v>ㆢ</v>
      </c>
      <c r="S54" s="342" t="str">
        <f t="shared" si="43"/>
        <v>ㄐ</v>
      </c>
      <c r="T54" s="342" t="str">
        <f t="shared" si="43"/>
        <v>ㄑ</v>
      </c>
      <c r="U54" s="342" t="str">
        <f t="shared" si="43"/>
        <v>ㄒ</v>
      </c>
      <c r="V54" s="342" t="str">
        <f t="shared" si="43"/>
        <v>ㄏ</v>
      </c>
      <c r="W54" s="342" t="str">
        <f t="shared" si="43"/>
        <v>ㄚ</v>
      </c>
      <c r="X54" s="342" t="str">
        <f t="shared" si="43"/>
        <v>ㄧ</v>
      </c>
      <c r="Y54" s="342" t="str">
        <f t="shared" si="43"/>
        <v>ㆨ</v>
      </c>
      <c r="Z54" s="342" t="str">
        <f t="shared" si="43"/>
        <v>ㄨ</v>
      </c>
      <c r="AA54" s="342" t="str">
        <f t="shared" si="43"/>
        <v>ㆤ</v>
      </c>
      <c r="AB54" s="342" t="str">
        <f t="shared" si="43"/>
        <v>ㆦ</v>
      </c>
      <c r="AC54" s="342" t="str">
        <f t="shared" si="43"/>
        <v>ㄜ</v>
      </c>
      <c r="AD54" s="342" t="str">
        <f t="shared" si="43"/>
        <v>ㄞ</v>
      </c>
      <c r="AE54" s="342" t="str">
        <f t="shared" si="43"/>
        <v>ㄠ</v>
      </c>
      <c r="AF54" s="342" t="str">
        <f t="shared" si="43"/>
        <v>ㆩ</v>
      </c>
      <c r="AG54" s="342" t="str">
        <f t="shared" si="43"/>
        <v>ㆪ</v>
      </c>
      <c r="AH54" s="342" t="str">
        <f t="shared" si="43"/>
        <v>ㆫ</v>
      </c>
      <c r="AI54" s="342" t="str">
        <f t="shared" si="43"/>
        <v>ㆥ</v>
      </c>
      <c r="AJ54" s="342" t="str">
        <f t="shared" si="43"/>
        <v>ㆧ</v>
      </c>
      <c r="AK54" s="342" t="str">
        <f t="shared" si="43"/>
        <v>ㆮ</v>
      </c>
      <c r="AL54" s="342" t="str">
        <f t="shared" si="43"/>
        <v>ㆯ</v>
      </c>
      <c r="AM54" s="342" t="str">
        <f t="shared" si="43"/>
        <v>ㆬ</v>
      </c>
      <c r="AN54" s="342" t="str">
        <f t="shared" si="43"/>
        <v>ㄣ</v>
      </c>
      <c r="AO54" s="342" t="str">
        <f t="shared" si="43"/>
        <v>ㆭ</v>
      </c>
      <c r="AP54" s="342" t="str">
        <f t="shared" si="43"/>
        <v>ㆰ</v>
      </c>
      <c r="AQ54" s="342" t="str">
        <f t="shared" si="43"/>
        <v>ㄢ</v>
      </c>
      <c r="AR54" s="342" t="str">
        <f t="shared" si="43"/>
        <v>ㄤ</v>
      </c>
      <c r="AS54" s="342" t="str">
        <f t="shared" si="43"/>
        <v>ㆱ</v>
      </c>
      <c r="AT54" s="342" t="str">
        <f t="shared" si="43"/>
        <v>ㆲ</v>
      </c>
      <c r="AU54" s="342" t="str">
        <f t="shared" si="43"/>
        <v>ㆴ</v>
      </c>
      <c r="AV54" s="342" t="str">
        <f t="shared" si="43"/>
        <v>ㆵ</v>
      </c>
      <c r="AW54" s="342" t="str">
        <f t="shared" si="43"/>
        <v>ㆻ</v>
      </c>
      <c r="AX54" s="342" t="str">
        <f t="shared" si="43"/>
        <v>ㆷ</v>
      </c>
      <c r="AY54" s="342" t="str">
        <f t="shared" si="43"/>
        <v>ˉ</v>
      </c>
      <c r="AZ54" s="342" t="str">
        <f t="shared" si="43"/>
        <v>^</v>
      </c>
      <c r="BA54" s="342" t="str">
        <f t="shared" si="43"/>
        <v>ˋ</v>
      </c>
      <c r="BB54" s="342" t="str">
        <f t="shared" si="43"/>
        <v>ˇ</v>
      </c>
      <c r="BC54" s="342" t="str">
        <f t="shared" si="43"/>
        <v>ˊ</v>
      </c>
      <c r="BD54" s="342" t="str">
        <f t="shared" si="43"/>
        <v>ˉ</v>
      </c>
      <c r="BE54" s="342" t="str">
        <f t="shared" si="43"/>
        <v>ˊ</v>
      </c>
      <c r="BF54" s="342" t="str">
        <f t="shared" si="43"/>
        <v>˙</v>
      </c>
      <c r="BG54" s="342" t="str">
        <f t="shared" si="43"/>
        <v>入</v>
      </c>
      <c r="BH54" s="342" t="str">
        <f t="shared" si="43"/>
        <v>ㄥ</v>
      </c>
      <c r="BI54" s="342" t="str">
        <f t="shared" si="43"/>
        <v>ñ</v>
      </c>
      <c r="BJ54" s="82"/>
      <c r="BK54" s="82"/>
      <c r="BL54" s="82"/>
      <c r="BN54" s="39">
        <f t="shared" si="1"/>
        <v>50</v>
      </c>
      <c r="BO54" s="354" cm="1">
        <f t="array" ref="BO54" xml:space="preserve"> INDEX(_xlfn.ANCHORARRAY($D$17), 1, $BN54)</f>
        <v>1</v>
      </c>
      <c r="BP54" s="351" t="str" cm="1">
        <f t="array" ref="BP54" xml:space="preserve"> INDEX(_xlfn.ANCHORARRAY($D$18), 1, $BN54)</f>
        <v>:</v>
      </c>
      <c r="BQ54" s="269" t="str" cm="1">
        <f t="array" ref="BQ54" xml:space="preserve"> INDEX(_xlfn.ANCHORARRAY($D$19), 1, $BN54)</f>
        <v>ˉ</v>
      </c>
      <c r="BR54" s="355" cm="1">
        <f t="array" ref="BR54" xml:space="preserve"> INDEX(_xlfn.ANCHORARRAY($D$20), 1, $BN54)</f>
        <v>1</v>
      </c>
      <c r="BS54" s="356" t="str" cm="1">
        <f t="array" ref="BS54" xml:space="preserve"> INDEX(注音編碼對照表[聲韻調], MATCH(TRUE, EXACT($BP54, 注音編碼對照表[鍵盤按鍵]), 0))</f>
        <v>調</v>
      </c>
      <c r="BT54" s="357">
        <f t="shared" si="2"/>
        <v>1</v>
      </c>
      <c r="BV54" s="123" t="str">
        <f t="shared" si="3"/>
        <v xml:space="preserve">    ":": { commit: "ˉ" }  # /1/ ==&gt; 1</v>
      </c>
      <c r="BX54" s="39">
        <f t="shared" si="4"/>
        <v>50</v>
      </c>
      <c r="BY54" s="332"/>
      <c r="BZ54" s="271"/>
      <c r="CA54" s="269"/>
      <c r="CB54" s="10"/>
      <c r="CC54" s="270"/>
      <c r="CD54" s="272"/>
      <c r="CG54" s="39">
        <f t="shared" si="5"/>
        <v>50</v>
      </c>
      <c r="CH54" s="332"/>
      <c r="CI54" s="271"/>
      <c r="CJ54" s="269"/>
      <c r="CK54" s="10"/>
      <c r="CL54" s="270"/>
      <c r="CM54" s="272"/>
      <c r="CP54" s="39">
        <f t="shared" si="7"/>
        <v>50</v>
      </c>
      <c r="CQ54" s="332"/>
      <c r="CR54" s="271"/>
      <c r="CS54" s="269"/>
      <c r="CT54" s="10"/>
      <c r="CU54" s="270"/>
      <c r="CV54" s="272"/>
      <c r="CX54" s="242" t="str">
        <f t="shared" si="39"/>
        <v/>
      </c>
      <c r="CY54" s="39">
        <f t="shared" si="9"/>
        <v>50</v>
      </c>
      <c r="CZ54" s="332"/>
      <c r="DA54" s="271"/>
      <c r="DB54" s="269"/>
      <c r="DC54" s="10"/>
      <c r="DD54" s="270"/>
      <c r="DE54" s="272"/>
    </row>
    <row r="55" spans="1:109" ht="45" customHeight="1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82"/>
      <c r="BK55" s="82"/>
      <c r="BL55" s="82"/>
      <c r="BN55" s="39">
        <f t="shared" si="1"/>
        <v>51</v>
      </c>
      <c r="BO55" s="354" cm="1">
        <f t="array" ref="BO55" xml:space="preserve"> INDEX(_xlfn.ANCHORARRAY($D$17), 1, $BN55)</f>
        <v>6</v>
      </c>
      <c r="BP55" s="351" cm="1">
        <f t="array" ref="BP55" xml:space="preserve"> INDEX(_xlfn.ANCHORARRAY($D$18), 1, $BN55)</f>
        <v>5</v>
      </c>
      <c r="BQ55" s="269" t="str" cm="1">
        <f t="array" ref="BQ55" xml:space="preserve"> INDEX(_xlfn.ANCHORARRAY($D$19), 1, $BN55)</f>
        <v>^</v>
      </c>
      <c r="BR55" s="355" cm="1">
        <f t="array" ref="BR55" xml:space="preserve"> INDEX(_xlfn.ANCHORARRAY($D$20), 1, $BN55)</f>
        <v>6</v>
      </c>
      <c r="BS55" s="356" t="str" cm="1">
        <f t="array" ref="BS55" xml:space="preserve"> INDEX(注音編碼對照表[聲韻調], MATCH(TRUE, EXACT($BP55, 注音編碼對照表[鍵盤按鍵]), 0))</f>
        <v>調</v>
      </c>
      <c r="BT55" s="357">
        <f t="shared" si="2"/>
        <v>1</v>
      </c>
      <c r="BV55" s="123" t="str">
        <f t="shared" si="3"/>
        <v xml:space="preserve">    "5": { commit: "^" }  # /6/ ==&gt; 6</v>
      </c>
      <c r="BX55" s="39">
        <f t="shared" si="4"/>
        <v>51</v>
      </c>
      <c r="BY55" s="332"/>
      <c r="BZ55" s="271"/>
      <c r="CA55" s="269"/>
      <c r="CB55" s="10"/>
      <c r="CC55" s="270"/>
      <c r="CD55" s="272"/>
      <c r="CG55" s="39">
        <f t="shared" si="5"/>
        <v>51</v>
      </c>
      <c r="CH55" s="332"/>
      <c r="CI55" s="271"/>
      <c r="CJ55" s="269"/>
      <c r="CK55" s="10"/>
      <c r="CL55" s="270"/>
      <c r="CM55" s="272"/>
      <c r="CP55" s="39">
        <f t="shared" si="7"/>
        <v>51</v>
      </c>
      <c r="CQ55" s="332"/>
      <c r="CR55" s="271"/>
      <c r="CS55" s="269"/>
      <c r="CT55" s="10"/>
      <c r="CU55" s="270"/>
      <c r="CV55" s="272"/>
      <c r="CX55" s="242" t="str">
        <f t="shared" si="39"/>
        <v/>
      </c>
      <c r="CY55" s="39">
        <f t="shared" si="9"/>
        <v>51</v>
      </c>
      <c r="CZ55" s="332"/>
      <c r="DA55" s="271"/>
      <c r="DB55" s="269"/>
      <c r="DC55" s="10"/>
      <c r="DD55" s="270"/>
      <c r="DE55" s="272"/>
    </row>
    <row r="56" spans="1:109" ht="45" customHeight="1"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82"/>
      <c r="BK56" s="82"/>
      <c r="BL56" s="82"/>
      <c r="BN56" s="39">
        <f t="shared" si="1"/>
        <v>52</v>
      </c>
      <c r="BO56" s="354" cm="1">
        <f t="array" ref="BO56" xml:space="preserve"> INDEX(_xlfn.ANCHORARRAY($D$17), 1, $BN56)</f>
        <v>5</v>
      </c>
      <c r="BP56" s="351" cm="1">
        <f t="array" ref="BP56" xml:space="preserve"> INDEX(_xlfn.ANCHORARRAY($D$18), 1, $BN56)</f>
        <v>3</v>
      </c>
      <c r="BQ56" s="269" t="str" cm="1">
        <f t="array" ref="BQ56" xml:space="preserve"> INDEX(_xlfn.ANCHORARRAY($D$19), 1, $BN56)</f>
        <v>ˋ</v>
      </c>
      <c r="BR56" s="355" cm="1">
        <f t="array" ref="BR56" xml:space="preserve"> INDEX(_xlfn.ANCHORARRAY($D$20), 1, $BN56)</f>
        <v>5</v>
      </c>
      <c r="BS56" s="356" t="str" cm="1">
        <f t="array" ref="BS56" xml:space="preserve"> INDEX(注音編碼對照表[聲韻調], MATCH(TRUE, EXACT($BP56, 注音編碼對照表[鍵盤按鍵]), 0))</f>
        <v>調</v>
      </c>
      <c r="BT56" s="357">
        <f t="shared" si="2"/>
        <v>1</v>
      </c>
      <c r="BV56" s="123" t="str">
        <f t="shared" si="3"/>
        <v xml:space="preserve">    "3": { commit: "ˋ" }  # /5/ ==&gt; 5</v>
      </c>
      <c r="BX56" s="39">
        <f t="shared" si="4"/>
        <v>52</v>
      </c>
      <c r="BY56" s="332"/>
      <c r="BZ56" s="271"/>
      <c r="CA56" s="269"/>
      <c r="CB56" s="10"/>
      <c r="CC56" s="270"/>
      <c r="CD56" s="272"/>
      <c r="CG56" s="39">
        <f t="shared" si="5"/>
        <v>52</v>
      </c>
      <c r="CH56" s="332"/>
      <c r="CI56" s="271"/>
      <c r="CJ56" s="269"/>
      <c r="CK56" s="10"/>
      <c r="CL56" s="270"/>
      <c r="CM56" s="272"/>
      <c r="CP56" s="39">
        <f t="shared" si="7"/>
        <v>52</v>
      </c>
      <c r="CQ56" s="332"/>
      <c r="CR56" s="271"/>
      <c r="CS56" s="269"/>
      <c r="CT56" s="10"/>
      <c r="CU56" s="270"/>
      <c r="CV56" s="272"/>
      <c r="CX56" s="242" t="str">
        <f t="shared" si="39"/>
        <v/>
      </c>
      <c r="CY56" s="39">
        <f t="shared" si="9"/>
        <v>52</v>
      </c>
      <c r="CZ56" s="332"/>
      <c r="DA56" s="271"/>
      <c r="DB56" s="269"/>
      <c r="DC56" s="10"/>
      <c r="DD56" s="270"/>
      <c r="DE56" s="272"/>
    </row>
    <row r="57" spans="1:109" ht="45" customHeight="1">
      <c r="B57" s="74" t="s">
        <v>301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1"/>
      <c r="AI57" s="61"/>
      <c r="AJ57" s="61"/>
      <c r="AK57" s="82"/>
      <c r="AL57" s="82"/>
      <c r="AM57" s="61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61"/>
      <c r="BH57" s="61"/>
      <c r="BI57" s="61"/>
      <c r="BJ57" s="82"/>
      <c r="BK57" s="82"/>
      <c r="BL57" s="82"/>
      <c r="BN57" s="39">
        <f t="shared" si="1"/>
        <v>53</v>
      </c>
      <c r="BO57" s="354" cm="1">
        <f t="array" ref="BO57" xml:space="preserve"> INDEX(_xlfn.ANCHORARRAY($D$17), 1, $BN57)</f>
        <v>3</v>
      </c>
      <c r="BP57" s="351" cm="1">
        <f t="array" ref="BP57" xml:space="preserve"> INDEX(_xlfn.ANCHORARRAY($D$18), 1, $BN57)</f>
        <v>4</v>
      </c>
      <c r="BQ57" s="269" t="str" cm="1">
        <f t="array" ref="BQ57" xml:space="preserve"> INDEX(_xlfn.ANCHORARRAY($D$19), 1, $BN57)</f>
        <v>ˇ</v>
      </c>
      <c r="BR57" s="355" cm="1">
        <f t="array" ref="BR57" xml:space="preserve"> INDEX(_xlfn.ANCHORARRAY($D$20), 1, $BN57)</f>
        <v>3</v>
      </c>
      <c r="BS57" s="356" t="str" cm="1">
        <f t="array" ref="BS57" xml:space="preserve"> INDEX(注音編碼對照表[聲韻調], MATCH(TRUE, EXACT($BP57, 注音編碼對照表[鍵盤按鍵]), 0))</f>
        <v>調</v>
      </c>
      <c r="BT57" s="357">
        <f t="shared" si="2"/>
        <v>1</v>
      </c>
      <c r="BV57" s="123" t="str">
        <f t="shared" si="3"/>
        <v xml:space="preserve">    "4": { commit: "ˇ" }  # /3/ ==&gt; 3</v>
      </c>
      <c r="BX57" s="39">
        <f t="shared" si="4"/>
        <v>53</v>
      </c>
      <c r="BY57" s="332"/>
      <c r="BZ57" s="271"/>
      <c r="CA57" s="269"/>
      <c r="CB57" s="10"/>
      <c r="CC57" s="270"/>
      <c r="CD57" s="272"/>
      <c r="CG57" s="39">
        <f t="shared" si="5"/>
        <v>53</v>
      </c>
      <c r="CH57" s="332"/>
      <c r="CI57" s="271"/>
      <c r="CJ57" s="269"/>
      <c r="CK57" s="10"/>
      <c r="CL57" s="270"/>
      <c r="CM57" s="272"/>
      <c r="CP57" s="39">
        <f t="shared" si="7"/>
        <v>53</v>
      </c>
      <c r="CQ57" s="332"/>
      <c r="CR57" s="271"/>
      <c r="CS57" s="269"/>
      <c r="CT57" s="10"/>
      <c r="CU57" s="270"/>
      <c r="CV57" s="272"/>
      <c r="CY57" s="39">
        <f t="shared" si="9"/>
        <v>53</v>
      </c>
      <c r="CZ57" s="332"/>
      <c r="DA57" s="271"/>
      <c r="DB57" s="269"/>
      <c r="DC57" s="10"/>
      <c r="DD57" s="270"/>
      <c r="DE57" s="272"/>
    </row>
    <row r="58" spans="1:109" ht="46.5" customHeight="1">
      <c r="B58" s="64" t="s">
        <v>302</v>
      </c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5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1"/>
      <c r="AI58" s="61"/>
      <c r="AJ58" s="61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N58" s="39">
        <f t="shared" si="1"/>
        <v>54</v>
      </c>
      <c r="BO58" s="354" cm="1">
        <f t="array" ref="BO58" xml:space="preserve"> INDEX(_xlfn.ANCHORARRAY($D$17), 1, $BN58)</f>
        <v>2</v>
      </c>
      <c r="BP58" s="351" cm="1">
        <f t="array" ref="BP58" xml:space="preserve"> INDEX(_xlfn.ANCHORARRAY($D$18), 1, $BN58)</f>
        <v>6</v>
      </c>
      <c r="BQ58" s="269" t="str" cm="1">
        <f t="array" ref="BQ58" xml:space="preserve"> INDEX(_xlfn.ANCHORARRAY($D$19), 1, $BN58)</f>
        <v>ˊ</v>
      </c>
      <c r="BR58" s="355" cm="1">
        <f t="array" ref="BR58" xml:space="preserve"> INDEX(_xlfn.ANCHORARRAY($D$20), 1, $BN58)</f>
        <v>2</v>
      </c>
      <c r="BS58" s="356" t="str" cm="1">
        <f t="array" ref="BS58" xml:space="preserve"> INDEX(注音編碼對照表[聲韻調], MATCH(TRUE, EXACT($BP58, 注音編碼對照表[鍵盤按鍵]), 0))</f>
        <v>調</v>
      </c>
      <c r="BT58" s="357">
        <f t="shared" si="2"/>
        <v>1</v>
      </c>
      <c r="BV58" s="123" t="str">
        <f t="shared" si="3"/>
        <v xml:space="preserve">    "6": { commit: "ˊ" }  # /2/ ==&gt; 2</v>
      </c>
      <c r="BX58" s="39">
        <f t="shared" si="4"/>
        <v>54</v>
      </c>
      <c r="BY58" s="332"/>
      <c r="BZ58" s="271"/>
      <c r="CA58" s="269"/>
      <c r="CB58" s="10"/>
      <c r="CC58" s="270"/>
      <c r="CD58" s="272"/>
      <c r="CG58" s="39">
        <f t="shared" si="5"/>
        <v>54</v>
      </c>
      <c r="CH58" s="332"/>
      <c r="CI58" s="271"/>
      <c r="CJ58" s="269"/>
      <c r="CK58" s="10"/>
      <c r="CL58" s="270"/>
      <c r="CM58" s="272"/>
      <c r="CP58" s="39">
        <f t="shared" si="7"/>
        <v>54</v>
      </c>
      <c r="CQ58" s="332"/>
      <c r="CR58" s="271"/>
      <c r="CS58" s="269"/>
      <c r="CT58" s="10"/>
      <c r="CU58" s="270"/>
      <c r="CV58" s="272"/>
      <c r="CY58" s="39">
        <f t="shared" si="9"/>
        <v>54</v>
      </c>
      <c r="CZ58" s="332"/>
      <c r="DA58" s="271"/>
      <c r="DB58" s="269"/>
      <c r="DC58" s="10"/>
      <c r="DD58" s="270"/>
      <c r="DE58" s="272"/>
    </row>
    <row r="59" spans="1:109" ht="54" customHeight="1">
      <c r="B59" s="75" t="s">
        <v>542</v>
      </c>
      <c r="C59" s="76"/>
      <c r="D59" s="76">
        <f xml:space="preserve"> LEN(E59)</f>
        <v>54</v>
      </c>
      <c r="E59" s="77" t="str">
        <f xml:space="preserve"> _xlfn.CONCAT(D17:BE17)</f>
        <v>mBbpndtlŋvgkZzcsJjCShaiwueOoIURDXEQxyMNGY@AWHPTKV16532</v>
      </c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J59" s="82"/>
      <c r="BK59" s="82"/>
      <c r="BL59" s="82"/>
      <c r="BN59" s="39">
        <f t="shared" si="1"/>
        <v>55</v>
      </c>
      <c r="BO59" s="354" cm="1">
        <f t="array" ref="BO59" xml:space="preserve"> INDEX(_xlfn.ANCHORARRAY($D$17), 1, $BN59)</f>
        <v>7</v>
      </c>
      <c r="BP59" s="351" t="str" cm="1">
        <f t="array" ref="BP59" xml:space="preserve"> INDEX(_xlfn.ANCHORARRAY($D$18), 1, $BN59)</f>
        <v>[</v>
      </c>
      <c r="BQ59" s="269" t="str" cm="1">
        <f t="array" ref="BQ59" xml:space="preserve"> INDEX(_xlfn.ANCHORARRAY($D$19), 1, $BN59)</f>
        <v>ˉ</v>
      </c>
      <c r="BR59" s="355" cm="1">
        <f t="array" ref="BR59" xml:space="preserve"> INDEX(_xlfn.ANCHORARRAY($D$20), 1, $BN59)</f>
        <v>7</v>
      </c>
      <c r="BS59" s="356" t="str" cm="1">
        <f t="array" ref="BS59" xml:space="preserve"> INDEX(注音編碼對照表[聲韻調], MATCH(TRUE, EXACT($BP59, 注音編碼對照表[鍵盤按鍵]), 0))</f>
        <v>調</v>
      </c>
      <c r="BT59" s="357">
        <f t="shared" si="2"/>
        <v>1</v>
      </c>
      <c r="BV59" s="123" t="str">
        <f t="shared" si="3"/>
        <v xml:space="preserve">    "[": { commit: "ˉ" }  # /7/ ==&gt; 7</v>
      </c>
      <c r="BX59" s="39">
        <f t="shared" si="4"/>
        <v>55</v>
      </c>
      <c r="BY59" s="332"/>
      <c r="BZ59" s="271"/>
      <c r="CA59" s="269"/>
      <c r="CB59" s="10"/>
      <c r="CC59" s="270"/>
      <c r="CD59" s="272"/>
      <c r="CG59" s="39">
        <f t="shared" si="5"/>
        <v>55</v>
      </c>
      <c r="CH59" s="332"/>
      <c r="CI59" s="271"/>
      <c r="CJ59" s="269"/>
      <c r="CK59" s="10"/>
      <c r="CL59" s="270"/>
      <c r="CM59" s="272"/>
      <c r="CP59" s="39">
        <f t="shared" si="7"/>
        <v>55</v>
      </c>
      <c r="CQ59" s="332"/>
      <c r="CR59" s="271"/>
      <c r="CS59" s="269"/>
      <c r="CT59" s="10"/>
      <c r="CU59" s="270"/>
      <c r="CV59" s="272"/>
      <c r="CY59" s="39">
        <f t="shared" si="9"/>
        <v>55</v>
      </c>
      <c r="CZ59" s="332"/>
      <c r="DA59" s="271"/>
      <c r="DB59" s="269"/>
      <c r="DC59" s="10"/>
      <c r="DD59" s="270"/>
      <c r="DE59" s="272"/>
    </row>
    <row r="60" spans="1:109" ht="54" customHeight="1">
      <c r="B60" s="78" t="s">
        <v>5</v>
      </c>
      <c r="C60" s="79"/>
      <c r="D60" s="79">
        <f>LEN(E60)</f>
        <v>54</v>
      </c>
      <c r="E60" s="78" t="str">
        <f xml:space="preserve"> _xlfn.CONCAT(D19:BE19)</f>
        <v>ㄇㆠㄅㄆㄋㄉㄊㄌㄫㆣㄍㄎㆡㄗㄘㄙㆢㄐㄑㄒㄏㄚㄧㆨㄨㆤㆦㄜㄞㄠㆩㆪㆫㆥㆧㆮㆯㆬㄣㆭㆰㄢㄤㆱㆲㆴㆵㆻㆷˉ^ˋˇˊ</v>
      </c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BJ60" s="82"/>
      <c r="BK60" s="82"/>
      <c r="BL60" s="82"/>
      <c r="BN60" s="39">
        <f t="shared" si="1"/>
        <v>56</v>
      </c>
      <c r="BO60" s="354" cm="1">
        <f t="array" ref="BO60" xml:space="preserve"> INDEX(_xlfn.ANCHORARRAY($D$17), 1, $BN60)</f>
        <v>8</v>
      </c>
      <c r="BP60" s="351" t="str" cm="1">
        <f t="array" ref="BP60" xml:space="preserve"> INDEX(_xlfn.ANCHORARRAY($D$18), 1, $BN60)</f>
        <v>]</v>
      </c>
      <c r="BQ60" s="269" t="str" cm="1">
        <f t="array" ref="BQ60" xml:space="preserve"> INDEX(_xlfn.ANCHORARRAY($D$19), 1, $BN60)</f>
        <v>ˊ</v>
      </c>
      <c r="BR60" s="355" cm="1">
        <f t="array" ref="BR60" xml:space="preserve"> INDEX(_xlfn.ANCHORARRAY($D$20), 1, $BN60)</f>
        <v>8</v>
      </c>
      <c r="BS60" s="356" t="str" cm="1">
        <f t="array" ref="BS60" xml:space="preserve"> INDEX(注音編碼對照表[聲韻調], MATCH(TRUE, EXACT($BP60, 注音編碼對照表[鍵盤按鍵]), 0))</f>
        <v>調</v>
      </c>
      <c r="BT60" s="357">
        <f t="shared" si="2"/>
        <v>1</v>
      </c>
      <c r="BV60" s="123" t="str">
        <f t="shared" si="3"/>
        <v xml:space="preserve">    "]": { commit: "ˊ" }  # /8/ ==&gt; 8</v>
      </c>
      <c r="BX60" s="39">
        <f t="shared" si="4"/>
        <v>56</v>
      </c>
      <c r="BY60" s="332"/>
      <c r="BZ60" s="271"/>
      <c r="CA60" s="269"/>
      <c r="CB60" s="10"/>
      <c r="CC60" s="270"/>
      <c r="CD60" s="272"/>
      <c r="CG60" s="39">
        <f t="shared" si="5"/>
        <v>56</v>
      </c>
      <c r="CH60" s="332"/>
      <c r="CI60" s="271"/>
      <c r="CJ60" s="269"/>
      <c r="CK60" s="10"/>
      <c r="CL60" s="270"/>
      <c r="CM60" s="272"/>
      <c r="CP60" s="39">
        <f t="shared" si="7"/>
        <v>56</v>
      </c>
      <c r="CQ60" s="332"/>
      <c r="CR60" s="271"/>
      <c r="CS60" s="269"/>
      <c r="CT60" s="10"/>
      <c r="CU60" s="270"/>
      <c r="CV60" s="272"/>
      <c r="CY60" s="39">
        <f t="shared" si="9"/>
        <v>56</v>
      </c>
      <c r="CZ60" s="332"/>
      <c r="DA60" s="271"/>
      <c r="DB60" s="269"/>
      <c r="DC60" s="10"/>
      <c r="DD60" s="270"/>
      <c r="DE60" s="272"/>
    </row>
    <row r="61" spans="1:109" ht="54" customHeight="1">
      <c r="B61" s="72" t="str">
        <f xml:space="preserve"> "- xlit|" &amp; E59 &amp; "|" &amp; E60 &amp; "|"</f>
        <v>- xlit|mBbpndtlŋvgkZzcsJjCShaiwueOoIURDXEQxyMNGY@AWHPTKV16532|ㄇㆠㄅㄆㄋㄉㄊㄌㄫㆣㄍㄎㆡㄗㄘㄙㆢㄐㄑㄒㄏㄚㄧㆨㄨㆤㆦㄜㄞㄠㆩㆪㆫㆥㆧㆮㆯㆬㄣㆭㆰㄢㄤㆱㆲㆴㆵㆻㆷˉ^ˋˇˊ|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73"/>
      <c r="AH61" s="73"/>
      <c r="AI61" s="73"/>
      <c r="AJ61" s="73"/>
      <c r="BJ61" s="82"/>
      <c r="BK61" s="82"/>
      <c r="BL61" s="82"/>
      <c r="BN61" s="39">
        <f t="shared" si="1"/>
        <v>57</v>
      </c>
      <c r="BO61" s="354" cm="1">
        <f t="array" ref="BO61" xml:space="preserve"> INDEX(_xlfn.ANCHORARRAY($D$17), 1, $BN61)</f>
        <v>0</v>
      </c>
      <c r="BP61" s="351" cm="1">
        <f t="array" ref="BP61" xml:space="preserve"> INDEX(_xlfn.ANCHORARRAY($D$18), 1, $BN61)</f>
        <v>7</v>
      </c>
      <c r="BQ61" s="269" t="str" cm="1">
        <f t="array" ref="BQ61" xml:space="preserve"> INDEX(_xlfn.ANCHORARRAY($D$19), 1, $BN61)</f>
        <v>˙</v>
      </c>
      <c r="BR61" s="355" cm="1">
        <f t="array" ref="BR61" xml:space="preserve"> INDEX(_xlfn.ANCHORARRAY($D$20), 1, $BN61)</f>
        <v>0</v>
      </c>
      <c r="BS61" s="356" t="str" cm="1">
        <f t="array" ref="BS61" xml:space="preserve"> INDEX(注音編碼對照表[聲韻調], MATCH(TRUE, EXACT($BP61, 注音編碼對照表[鍵盤按鍵]), 0))</f>
        <v>調</v>
      </c>
      <c r="BT61" s="357">
        <f t="shared" si="2"/>
        <v>1</v>
      </c>
      <c r="BV61" s="123" t="str">
        <f t="shared" si="3"/>
        <v xml:space="preserve">    "7": { commit: "˙" }  # /0/ ==&gt; 0</v>
      </c>
      <c r="BX61" s="39">
        <f t="shared" si="4"/>
        <v>57</v>
      </c>
      <c r="BY61" s="332"/>
      <c r="BZ61" s="271"/>
      <c r="CA61" s="269"/>
      <c r="CB61" s="10"/>
      <c r="CC61" s="270"/>
      <c r="CD61" s="272"/>
      <c r="CG61" s="39">
        <f t="shared" si="5"/>
        <v>57</v>
      </c>
      <c r="CH61" s="332"/>
      <c r="CI61" s="271"/>
      <c r="CJ61" s="269"/>
      <c r="CK61" s="10"/>
      <c r="CL61" s="270"/>
      <c r="CM61" s="272"/>
      <c r="CP61" s="39">
        <f t="shared" si="7"/>
        <v>57</v>
      </c>
      <c r="CQ61" s="332"/>
      <c r="CR61" s="271"/>
      <c r="CS61" s="269"/>
      <c r="CT61" s="10"/>
      <c r="CU61" s="270"/>
      <c r="CV61" s="272"/>
      <c r="CY61" s="39">
        <f t="shared" si="9"/>
        <v>57</v>
      </c>
      <c r="CZ61" s="332"/>
      <c r="DA61" s="271"/>
      <c r="DB61" s="269"/>
      <c r="DC61" s="10"/>
      <c r="DD61" s="270"/>
      <c r="DE61" s="272"/>
    </row>
    <row r="62" spans="1:109" ht="45.75"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BJ62" s="82"/>
      <c r="BK62" s="82"/>
      <c r="BL62" s="82"/>
      <c r="BN62" s="39">
        <f t="shared" si="1"/>
        <v>58</v>
      </c>
      <c r="BO62" s="354" t="str" cm="1">
        <f t="array" ref="BO62" xml:space="preserve"> INDEX(_xlfn.ANCHORARRAY($D$17), 1, $BN62)</f>
        <v>&amp;</v>
      </c>
      <c r="BP62" s="351" t="str" cm="1">
        <f t="array" ref="BP62" xml:space="preserve"> INDEX(_xlfn.ANCHORARRAY($D$18), 1, $BN62)</f>
        <v>.</v>
      </c>
      <c r="BQ62" s="269" t="str" cm="1">
        <f t="array" ref="BQ62" xml:space="preserve"> INDEX(_xlfn.ANCHORARRAY($D$19), 1, $BN62)</f>
        <v>入</v>
      </c>
      <c r="BR62" s="355" t="str" cm="1">
        <f t="array" ref="BR62" xml:space="preserve"> INDEX(_xlfn.ANCHORARRAY($D$20), 1, $BN62)</f>
        <v>[78]</v>
      </c>
      <c r="BS62" s="356" t="str" cm="1">
        <f t="array" ref="BS62" xml:space="preserve"> INDEX(注音編碼對照表[聲韻調], MATCH(TRUE, EXACT($BP62, 注音編碼對照表[鍵盤按鍵]), 0))</f>
        <v>鍵</v>
      </c>
      <c r="BT62" s="357">
        <f t="shared" si="2"/>
        <v>4</v>
      </c>
      <c r="BV62" s="123" t="str">
        <f t="shared" si="3"/>
        <v xml:space="preserve">    ".": { commit: "入" }  # /[78]/ ==&gt; &amp;</v>
      </c>
      <c r="BX62" s="39">
        <f t="shared" si="4"/>
        <v>58</v>
      </c>
      <c r="BY62" s="332"/>
      <c r="BZ62" s="271"/>
      <c r="CA62" s="269"/>
      <c r="CB62" s="10"/>
      <c r="CC62" s="270"/>
      <c r="CD62" s="272"/>
      <c r="CG62" s="39">
        <f t="shared" si="5"/>
        <v>58</v>
      </c>
      <c r="CH62" s="332"/>
      <c r="CI62" s="271"/>
      <c r="CJ62" s="269"/>
      <c r="CK62" s="10"/>
      <c r="CL62" s="270"/>
      <c r="CM62" s="272"/>
      <c r="CP62" s="39">
        <f t="shared" si="7"/>
        <v>58</v>
      </c>
      <c r="CQ62" s="332"/>
      <c r="CR62" s="271"/>
      <c r="CS62" s="269"/>
      <c r="CT62" s="10"/>
      <c r="CU62" s="270"/>
      <c r="CV62" s="272"/>
      <c r="CY62" s="39">
        <f t="shared" si="9"/>
        <v>58</v>
      </c>
      <c r="CZ62" s="332"/>
      <c r="DA62" s="271"/>
      <c r="DB62" s="269"/>
      <c r="DC62" s="10"/>
      <c r="DD62" s="270"/>
      <c r="DE62" s="272"/>
    </row>
    <row r="63" spans="1:109" ht="45.75">
      <c r="B63" s="288" t="s">
        <v>597</v>
      </c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288" cm="1">
        <f t="array" aca="1" ref="Y63" ca="1" xml:space="preserve"> INDIRECT( ADDRESS( ROW()-1, COLUMN()-1) )</f>
        <v>0</v>
      </c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BJ63" s="82"/>
      <c r="BK63" s="82"/>
      <c r="BL63" s="82"/>
      <c r="BN63" s="39">
        <f t="shared" si="1"/>
        <v>59</v>
      </c>
      <c r="BO63" s="354" t="str" cm="1">
        <f t="array" ref="BO63" xml:space="preserve"> INDEX(_xlfn.ANCHORARRAY($D$17), 1, $BN63)</f>
        <v>L</v>
      </c>
      <c r="BP63" s="351" t="str" cm="1">
        <f t="array" ref="BP63" xml:space="preserve"> INDEX(_xlfn.ANCHORARRAY($D$18), 1, $BN63)</f>
        <v>?</v>
      </c>
      <c r="BQ63" s="269" t="str" cm="1">
        <f t="array" ref="BQ63" xml:space="preserve"> INDEX(_xlfn.ANCHORARRAY($D$19), 1, $BN63)</f>
        <v>ㄥ</v>
      </c>
      <c r="BR63" s="355" t="str" cm="1">
        <f t="array" ref="BR63" xml:space="preserve"> INDEX(_xlfn.ANCHORARRAY($D$20), 1, $BN63)</f>
        <v>nn</v>
      </c>
      <c r="BS63" s="356" t="str" cm="1">
        <f t="array" ref="BS63" xml:space="preserve"> INDEX(注音編碼對照表[聲韻調], MATCH(TRUE, EXACT($BP63, 注音編碼對照表[鍵盤按鍵]), 0))</f>
        <v>鍵</v>
      </c>
      <c r="BT63" s="357">
        <f t="shared" si="2"/>
        <v>2</v>
      </c>
      <c r="BV63" s="123" t="str">
        <f t="shared" si="3"/>
        <v xml:space="preserve">    "?": { commit: "ㄥ" }  # /nn/ ==&gt; L</v>
      </c>
      <c r="BX63" s="39">
        <f t="shared" si="4"/>
        <v>59</v>
      </c>
      <c r="BY63" s="332"/>
      <c r="BZ63" s="271"/>
      <c r="CA63" s="269"/>
      <c r="CB63" s="10"/>
      <c r="CC63" s="270"/>
      <c r="CD63" s="272"/>
      <c r="CG63" s="39">
        <f t="shared" si="5"/>
        <v>59</v>
      </c>
      <c r="CH63" s="332"/>
      <c r="CI63" s="271"/>
      <c r="CJ63" s="269"/>
      <c r="CK63" s="10"/>
      <c r="CL63" s="270"/>
      <c r="CM63" s="272"/>
      <c r="CP63" s="39">
        <f t="shared" si="7"/>
        <v>59</v>
      </c>
      <c r="CQ63" s="332"/>
      <c r="CR63" s="271"/>
      <c r="CS63" s="269"/>
      <c r="CT63" s="10"/>
      <c r="CU63" s="270"/>
      <c r="CV63" s="272"/>
      <c r="CY63" s="39">
        <f t="shared" si="9"/>
        <v>59</v>
      </c>
      <c r="CZ63" s="332"/>
      <c r="DA63" s="271"/>
      <c r="DB63" s="269"/>
      <c r="DC63" s="10"/>
      <c r="DD63" s="270"/>
      <c r="DE63" s="272"/>
    </row>
    <row r="64" spans="1:109" ht="45.75">
      <c r="B64" s="288" t="s">
        <v>598</v>
      </c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288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BJ64" s="82"/>
      <c r="BK64" s="82"/>
      <c r="BL64" s="82"/>
      <c r="BN64" s="39">
        <f t="shared" si="1"/>
        <v>60</v>
      </c>
      <c r="BO64" s="354" t="str" cm="1">
        <f t="array" ref="BO64" xml:space="preserve"> INDEX(_xlfn.ANCHORARRAY($D$17), 1, $BN64)</f>
        <v>*</v>
      </c>
      <c r="BP64" s="351" t="str" cm="1">
        <f t="array" ref="BP64" xml:space="preserve"> INDEX(_xlfn.ANCHORARRAY($D$18), 1, $BN64)</f>
        <v>-</v>
      </c>
      <c r="BQ64" s="269" t="str" cm="1">
        <f t="array" ref="BQ64" xml:space="preserve"> INDEX(_xlfn.ANCHORARRAY($D$19), 1, $BN64)</f>
        <v>ñ</v>
      </c>
      <c r="BR64" s="355" t="str" cm="1">
        <f t="array" ref="BR64" xml:space="preserve"> INDEX(_xlfn.ANCHORARRAY($D$20), 1, $BN64)</f>
        <v>*nn</v>
      </c>
      <c r="BS64" s="356" t="str" cm="1">
        <f t="array" ref="BS64" xml:space="preserve"> INDEX(注音編碼對照表[聲韻調], MATCH(TRUE, EXACT($BP64, 注音編碼對照表[鍵盤按鍵]), 0))</f>
        <v>鍵</v>
      </c>
      <c r="BT64" s="357">
        <f t="shared" si="2"/>
        <v>3</v>
      </c>
      <c r="BV64" s="123" t="str">
        <f t="shared" si="3"/>
        <v xml:space="preserve">    "-": { commit: "ñ" }  # /*nn/ ==&gt; *</v>
      </c>
      <c r="BX64" s="39">
        <f t="shared" si="4"/>
        <v>60</v>
      </c>
      <c r="BY64" s="332"/>
      <c r="BZ64" s="271"/>
      <c r="CA64" s="269"/>
      <c r="CB64" s="10"/>
      <c r="CC64" s="270"/>
      <c r="CD64" s="272"/>
      <c r="CG64" s="39">
        <f t="shared" si="5"/>
        <v>60</v>
      </c>
      <c r="CH64" s="332"/>
      <c r="CI64" s="271"/>
      <c r="CJ64" s="269"/>
      <c r="CK64" s="10"/>
      <c r="CL64" s="270"/>
      <c r="CM64" s="272"/>
      <c r="CP64" s="39">
        <f t="shared" si="7"/>
        <v>60</v>
      </c>
      <c r="CQ64" s="332"/>
      <c r="CR64" s="271"/>
      <c r="CS64" s="269"/>
      <c r="CT64" s="10"/>
      <c r="CU64" s="270"/>
      <c r="CV64" s="272"/>
      <c r="CY64" s="39">
        <f t="shared" si="9"/>
        <v>60</v>
      </c>
      <c r="CZ64" s="332"/>
      <c r="DA64" s="271"/>
      <c r="DB64" s="269"/>
      <c r="DC64" s="10"/>
      <c r="DD64" s="270"/>
      <c r="DE64" s="272"/>
    </row>
    <row r="65" spans="1:109" ht="45.75">
      <c r="A65" s="295">
        <f xml:space="preserve"> LEN(B77)</f>
        <v>60</v>
      </c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BJ65" s="82"/>
      <c r="BK65" s="82"/>
      <c r="BL65" s="82"/>
      <c r="BQ65" s="345"/>
      <c r="BS65" s="345"/>
      <c r="BY65" s="7"/>
      <c r="BZ65" s="271"/>
      <c r="CA65" s="269"/>
      <c r="CB65" s="10"/>
      <c r="CC65" s="270"/>
      <c r="CD65" s="272"/>
      <c r="CH65" s="7"/>
      <c r="CI65" s="271"/>
      <c r="CJ65" s="269"/>
      <c r="CK65" s="10"/>
      <c r="CL65" s="270"/>
      <c r="CM65" s="272"/>
      <c r="CQ65" s="7"/>
      <c r="CR65" s="271"/>
      <c r="CS65" s="269"/>
      <c r="CT65" s="10"/>
      <c r="CU65" s="270"/>
      <c r="CV65" s="272"/>
      <c r="CZ65" s="7"/>
      <c r="DA65" s="271"/>
      <c r="DB65" s="269"/>
      <c r="DC65" s="10"/>
      <c r="DD65" s="270"/>
      <c r="DE65" s="272"/>
    </row>
    <row r="66" spans="1:109">
      <c r="A66" s="295">
        <f xml:space="preserve"> LEN(B78)</f>
        <v>60</v>
      </c>
      <c r="B66" s="82"/>
      <c r="C66" s="82"/>
      <c r="D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</row>
    <row r="67" spans="1:109">
      <c r="B67" s="283">
        <v>1</v>
      </c>
      <c r="C67" s="283">
        <v>2</v>
      </c>
      <c r="D67" s="283">
        <v>3</v>
      </c>
      <c r="E67" s="283">
        <v>4</v>
      </c>
      <c r="F67" s="283">
        <v>5</v>
      </c>
      <c r="G67" s="283">
        <v>6</v>
      </c>
      <c r="H67" s="283">
        <v>7</v>
      </c>
      <c r="I67" s="283">
        <v>8</v>
      </c>
      <c r="J67" s="283">
        <v>9</v>
      </c>
      <c r="K67" s="283">
        <v>10</v>
      </c>
      <c r="L67" s="283">
        <v>11</v>
      </c>
      <c r="M67" s="283">
        <v>12</v>
      </c>
      <c r="N67" s="283">
        <v>13</v>
      </c>
      <c r="O67" s="283">
        <v>14</v>
      </c>
      <c r="P67" s="283">
        <v>15</v>
      </c>
      <c r="Q67" s="283">
        <v>16</v>
      </c>
      <c r="R67" s="283">
        <v>17</v>
      </c>
      <c r="S67" s="284">
        <v>18</v>
      </c>
      <c r="T67" s="283">
        <v>19</v>
      </c>
      <c r="U67" s="283">
        <v>20</v>
      </c>
      <c r="V67" s="283">
        <v>21</v>
      </c>
      <c r="W67" s="283">
        <v>22</v>
      </c>
      <c r="X67" s="283">
        <v>23</v>
      </c>
      <c r="Y67" s="283">
        <v>24</v>
      </c>
      <c r="Z67" s="283">
        <v>25</v>
      </c>
      <c r="AA67" s="283">
        <v>26</v>
      </c>
      <c r="AB67" s="283">
        <v>27</v>
      </c>
      <c r="AC67" s="283">
        <v>28</v>
      </c>
      <c r="AD67" s="283">
        <v>29</v>
      </c>
      <c r="AE67" s="283">
        <v>30</v>
      </c>
      <c r="AF67" s="283">
        <v>31</v>
      </c>
      <c r="AG67" s="283">
        <v>32</v>
      </c>
      <c r="AH67" s="285">
        <v>33</v>
      </c>
      <c r="AI67" s="285">
        <v>34</v>
      </c>
      <c r="AJ67" s="285">
        <v>35</v>
      </c>
      <c r="AK67" s="285">
        <v>36</v>
      </c>
      <c r="AL67" s="286">
        <v>37</v>
      </c>
      <c r="AM67" s="285">
        <v>38</v>
      </c>
      <c r="AN67" s="285">
        <v>39</v>
      </c>
      <c r="AO67" s="285">
        <v>40</v>
      </c>
      <c r="AP67" s="285">
        <v>41</v>
      </c>
      <c r="AQ67" s="285">
        <v>42</v>
      </c>
      <c r="AR67" s="285">
        <v>43</v>
      </c>
      <c r="AS67" s="285">
        <v>44</v>
      </c>
      <c r="AT67" s="285">
        <v>45</v>
      </c>
      <c r="AU67" s="285">
        <v>46</v>
      </c>
      <c r="AV67" s="285">
        <v>47</v>
      </c>
      <c r="AW67" s="285">
        <v>48</v>
      </c>
      <c r="AX67" s="285">
        <v>49</v>
      </c>
      <c r="AY67" s="285">
        <v>50</v>
      </c>
      <c r="AZ67" s="285">
        <v>51</v>
      </c>
      <c r="BA67" s="285">
        <v>52</v>
      </c>
      <c r="BB67" s="285">
        <v>53</v>
      </c>
      <c r="BC67" s="285">
        <v>54</v>
      </c>
      <c r="BD67" s="285">
        <v>55</v>
      </c>
      <c r="BE67" s="285">
        <v>56</v>
      </c>
      <c r="BF67" s="285">
        <v>57</v>
      </c>
      <c r="BG67" s="285">
        <v>58</v>
      </c>
      <c r="BH67" s="285">
        <v>59</v>
      </c>
      <c r="BI67" s="285">
        <v>60</v>
      </c>
      <c r="BJ67" s="82"/>
      <c r="BK67" s="82"/>
      <c r="BL67" s="82"/>
    </row>
    <row r="68" spans="1:109">
      <c r="B68" s="300" t="str" cm="1">
        <f t="array" ref="B68:BI68" xml:space="preserve"> TRANSPOSE(注音編碼對照表[字典編碼])</f>
        <v>m</v>
      </c>
      <c r="C68" s="300" t="str">
        <v>B</v>
      </c>
      <c r="D68" s="300" t="str">
        <v>b</v>
      </c>
      <c r="E68" s="300" t="str">
        <v>p</v>
      </c>
      <c r="F68" s="300" t="str">
        <v>n</v>
      </c>
      <c r="G68" s="300" t="str">
        <v>d</v>
      </c>
      <c r="H68" s="300" t="str">
        <v>t</v>
      </c>
      <c r="I68" s="300" t="str">
        <v>l</v>
      </c>
      <c r="J68" s="300" t="str">
        <v>ŋ</v>
      </c>
      <c r="K68" s="300" t="str">
        <v>v</v>
      </c>
      <c r="L68" s="300" t="str">
        <v>g</v>
      </c>
      <c r="M68" s="300" t="str">
        <v>k</v>
      </c>
      <c r="N68" s="300" t="str">
        <v>Z</v>
      </c>
      <c r="O68" s="300" t="str">
        <v>z</v>
      </c>
      <c r="P68" s="300" t="str">
        <v>c</v>
      </c>
      <c r="Q68" s="300" t="str">
        <v>s</v>
      </c>
      <c r="R68" s="300" t="str">
        <v>J</v>
      </c>
      <c r="S68" s="300" t="str">
        <v>j</v>
      </c>
      <c r="T68" s="300" t="str">
        <v>C</v>
      </c>
      <c r="U68" s="300" t="str">
        <v>S</v>
      </c>
      <c r="V68" s="300" t="str">
        <v>h</v>
      </c>
      <c r="W68" s="300" t="str">
        <v>a</v>
      </c>
      <c r="X68" s="300" t="str">
        <v>i</v>
      </c>
      <c r="Y68" s="300" t="str">
        <v>w</v>
      </c>
      <c r="Z68" s="300" t="str">
        <v>u</v>
      </c>
      <c r="AA68" s="300" t="str">
        <v>e</v>
      </c>
      <c r="AB68" s="300" t="str">
        <v>O</v>
      </c>
      <c r="AC68" s="300" t="str">
        <v>o</v>
      </c>
      <c r="AD68" s="300" t="str">
        <v>I</v>
      </c>
      <c r="AE68" s="300" t="str">
        <v>U</v>
      </c>
      <c r="AF68" s="300" t="str">
        <v>R</v>
      </c>
      <c r="AG68" s="300" t="str">
        <v>D</v>
      </c>
      <c r="AH68" s="301" t="str">
        <v>X</v>
      </c>
      <c r="AI68" s="301" t="str">
        <v>E</v>
      </c>
      <c r="AJ68" s="301" t="str">
        <v>Q</v>
      </c>
      <c r="AK68" s="301" t="str">
        <v>x</v>
      </c>
      <c r="AL68" s="302" t="str">
        <v>y</v>
      </c>
      <c r="AM68" s="301" t="str">
        <v>M</v>
      </c>
      <c r="AN68" s="301" t="str">
        <v>N</v>
      </c>
      <c r="AO68" s="301" t="str">
        <v>G</v>
      </c>
      <c r="AP68" s="301" t="str">
        <v>Y</v>
      </c>
      <c r="AQ68" s="301" t="str">
        <v>@</v>
      </c>
      <c r="AR68" s="301" t="str">
        <v>A</v>
      </c>
      <c r="AS68" s="301" t="str">
        <v>W</v>
      </c>
      <c r="AT68" s="301" t="str">
        <v>H</v>
      </c>
      <c r="AU68" s="301" t="str">
        <v>P</v>
      </c>
      <c r="AV68" s="301" t="str">
        <v>T</v>
      </c>
      <c r="AW68" s="301" t="str">
        <v>K</v>
      </c>
      <c r="AX68" s="301" t="str">
        <v>V</v>
      </c>
      <c r="AY68" s="301">
        <v>1</v>
      </c>
      <c r="AZ68" s="301">
        <v>6</v>
      </c>
      <c r="BA68" s="301">
        <v>5</v>
      </c>
      <c r="BB68" s="301">
        <v>3</v>
      </c>
      <c r="BC68" s="301">
        <v>2</v>
      </c>
      <c r="BD68" s="301">
        <v>7</v>
      </c>
      <c r="BE68" s="301">
        <v>8</v>
      </c>
      <c r="BF68" s="301">
        <v>0</v>
      </c>
      <c r="BG68" s="301" t="str">
        <v>&amp;</v>
      </c>
      <c r="BH68" s="301" t="str">
        <v>L</v>
      </c>
      <c r="BI68" s="301" t="str">
        <v>*</v>
      </c>
      <c r="BJ68" s="82"/>
      <c r="BK68" s="82"/>
    </row>
    <row r="69" spans="1:109">
      <c r="A69" s="295">
        <f xml:space="preserve"> LEN(B82)</f>
        <v>49</v>
      </c>
      <c r="B69" s="297" t="str" cm="1">
        <f t="array" ref="B69:BI69" xml:space="preserve"> TRANSPOSE(注音編碼對照表[鍵盤按鍵])</f>
        <v>a</v>
      </c>
      <c r="C69" s="297" t="str">
        <v>!</v>
      </c>
      <c r="D69" s="297" t="str">
        <v>1</v>
      </c>
      <c r="E69" s="297" t="str">
        <v>q</v>
      </c>
      <c r="F69" s="297" t="str">
        <v>s</v>
      </c>
      <c r="G69" s="297" t="str">
        <v>2</v>
      </c>
      <c r="H69" s="297" t="str">
        <v>w</v>
      </c>
      <c r="I69" s="297" t="str">
        <v>x</v>
      </c>
      <c r="J69" s="297" t="str">
        <v>N</v>
      </c>
      <c r="K69" s="297" t="str">
        <v>E</v>
      </c>
      <c r="L69" s="297" t="str">
        <v>e</v>
      </c>
      <c r="M69" s="297" t="str">
        <v>d</v>
      </c>
      <c r="N69" s="297" t="str">
        <v>Y</v>
      </c>
      <c r="O69" s="297" t="str">
        <v>y</v>
      </c>
      <c r="P69" s="297" t="str">
        <v>h</v>
      </c>
      <c r="Q69" s="297" t="str">
        <v>n</v>
      </c>
      <c r="R69" s="297" t="str">
        <v>R</v>
      </c>
      <c r="S69" s="297" t="str">
        <v>r</v>
      </c>
      <c r="T69" s="297" t="str">
        <v>f</v>
      </c>
      <c r="U69" s="297" t="str">
        <v>v</v>
      </c>
      <c r="V69" s="297" t="str">
        <v>c</v>
      </c>
      <c r="W69" s="297" t="str">
        <v>8</v>
      </c>
      <c r="X69" s="297" t="str">
        <v>u</v>
      </c>
      <c r="Y69" s="297" t="str">
        <v>K</v>
      </c>
      <c r="Z69" s="297" t="str">
        <v>j</v>
      </c>
      <c r="AA69" s="297" t="str">
        <v>,</v>
      </c>
      <c r="AB69" s="297" t="str">
        <v>i</v>
      </c>
      <c r="AC69" s="297" t="str">
        <v>k</v>
      </c>
      <c r="AD69" s="297" t="str">
        <v>9</v>
      </c>
      <c r="AE69" s="297" t="str">
        <v>l</v>
      </c>
      <c r="AF69" s="297" t="str">
        <v>*</v>
      </c>
      <c r="AG69" s="297" t="str">
        <v>U</v>
      </c>
      <c r="AH69" s="298" t="str">
        <v>J</v>
      </c>
      <c r="AI69" s="298" t="str">
        <v>&lt;</v>
      </c>
      <c r="AJ69" s="298" t="str">
        <v>I</v>
      </c>
      <c r="AK69" s="298" t="str">
        <v>(</v>
      </c>
      <c r="AL69" s="299" t="str">
        <v>L</v>
      </c>
      <c r="AM69" s="298" t="str">
        <v>m</v>
      </c>
      <c r="AN69" s="298" t="str">
        <v>p</v>
      </c>
      <c r="AO69" s="298" t="str">
        <v>/</v>
      </c>
      <c r="AP69" s="298" t="str">
        <v>M</v>
      </c>
      <c r="AQ69" s="298" t="str">
        <v>0</v>
      </c>
      <c r="AR69" s="298" t="str">
        <v>;</v>
      </c>
      <c r="AS69" s="298" t="str">
        <v>O</v>
      </c>
      <c r="AT69" s="298" t="str">
        <v>o</v>
      </c>
      <c r="AU69" s="298" t="str">
        <v>b</v>
      </c>
      <c r="AV69" s="298" t="str">
        <v>t</v>
      </c>
      <c r="AW69" s="298" t="str">
        <v>g</v>
      </c>
      <c r="AX69" s="298" t="str">
        <v>z</v>
      </c>
      <c r="AY69" s="298" t="str">
        <v>:</v>
      </c>
      <c r="AZ69" s="298">
        <v>5</v>
      </c>
      <c r="BA69" s="298">
        <v>3</v>
      </c>
      <c r="BB69" s="298">
        <v>4</v>
      </c>
      <c r="BC69" s="298">
        <v>6</v>
      </c>
      <c r="BD69" s="298" t="str">
        <v>[</v>
      </c>
      <c r="BE69" s="298" t="str">
        <v>]</v>
      </c>
      <c r="BF69" s="298">
        <v>7</v>
      </c>
      <c r="BG69" s="298" t="str">
        <v>.</v>
      </c>
      <c r="BH69" s="298" t="str">
        <v>?</v>
      </c>
      <c r="BI69" s="298" t="str">
        <v>-</v>
      </c>
      <c r="BJ69" s="82"/>
      <c r="BK69" s="82"/>
    </row>
    <row r="70" spans="1:109">
      <c r="A70" s="295">
        <f xml:space="preserve"> LEN(B83)</f>
        <v>49</v>
      </c>
      <c r="B70" s="289" t="str" cm="1">
        <f t="array" ref="B70:BI70" xml:space="preserve"> TRANSPOSE(注音編碼對照表[方音符號])</f>
        <v>ㄇ</v>
      </c>
      <c r="C70" s="289" t="str">
        <v>ㆠ</v>
      </c>
      <c r="D70" s="289" t="str">
        <v>ㄅ</v>
      </c>
      <c r="E70" s="289" t="str">
        <v>ㄆ</v>
      </c>
      <c r="F70" s="289" t="str">
        <v>ㄋ</v>
      </c>
      <c r="G70" s="289" t="str">
        <v>ㄉ</v>
      </c>
      <c r="H70" s="289" t="str">
        <v>ㄊ</v>
      </c>
      <c r="I70" s="289" t="str">
        <v>ㄌ</v>
      </c>
      <c r="J70" s="289" t="str">
        <v>ㄫ</v>
      </c>
      <c r="K70" s="289" t="str">
        <v>ㆣ</v>
      </c>
      <c r="L70" s="289" t="str">
        <v>ㄍ</v>
      </c>
      <c r="M70" s="289" t="str">
        <v>ㄎ</v>
      </c>
      <c r="N70" s="289" t="str">
        <v>ㆡ</v>
      </c>
      <c r="O70" s="289" t="str">
        <v>ㄗ</v>
      </c>
      <c r="P70" s="289" t="str">
        <v>ㄘ</v>
      </c>
      <c r="Q70" s="289" t="str">
        <v>ㄙ</v>
      </c>
      <c r="R70" s="289" t="str">
        <v>ㆢ</v>
      </c>
      <c r="S70" s="289" t="str">
        <v>ㄐ</v>
      </c>
      <c r="T70" s="289" t="str">
        <v>ㄑ</v>
      </c>
      <c r="U70" s="289" t="str">
        <v>ㄒ</v>
      </c>
      <c r="V70" s="289" t="str">
        <v>ㄏ</v>
      </c>
      <c r="W70" s="289" t="str">
        <v>ㄚ</v>
      </c>
      <c r="X70" s="289" t="str">
        <v>ㄧ</v>
      </c>
      <c r="Y70" s="289" t="str">
        <v>ㆨ</v>
      </c>
      <c r="Z70" s="289" t="str">
        <v>ㄨ</v>
      </c>
      <c r="AA70" s="289" t="str">
        <v>ㆤ</v>
      </c>
      <c r="AB70" s="289" t="str">
        <v>ㆦ</v>
      </c>
      <c r="AC70" s="289" t="str">
        <v>ㄜ</v>
      </c>
      <c r="AD70" s="289" t="str">
        <v>ㄞ</v>
      </c>
      <c r="AE70" s="289" t="str">
        <v>ㄠ</v>
      </c>
      <c r="AF70" s="289" t="str">
        <v>ㆩ</v>
      </c>
      <c r="AG70" s="289" t="str">
        <v>ㆪ</v>
      </c>
      <c r="AH70" s="290" t="str">
        <v>ㆫ</v>
      </c>
      <c r="AI70" s="290" t="str">
        <v>ㆥ</v>
      </c>
      <c r="AJ70" s="290" t="str">
        <v>ㆧ</v>
      </c>
      <c r="AK70" s="290" t="str">
        <v>ㆮ</v>
      </c>
      <c r="AL70" s="291" t="str">
        <v>ㆯ</v>
      </c>
      <c r="AM70" s="290" t="str">
        <v>ㆬ</v>
      </c>
      <c r="AN70" s="290" t="str">
        <v>ㄣ</v>
      </c>
      <c r="AO70" s="290" t="str">
        <v>ㆭ</v>
      </c>
      <c r="AP70" s="290" t="str">
        <v>ㆰ</v>
      </c>
      <c r="AQ70" s="290" t="str">
        <v>ㄢ</v>
      </c>
      <c r="AR70" s="290" t="str">
        <v>ㄤ</v>
      </c>
      <c r="AS70" s="290" t="str">
        <v>ㆱ</v>
      </c>
      <c r="AT70" s="290" t="str">
        <v>ㆲ</v>
      </c>
      <c r="AU70" s="290" t="str">
        <v>ㆴ</v>
      </c>
      <c r="AV70" s="290" t="str">
        <v>ㆵ</v>
      </c>
      <c r="AW70" s="290" t="str">
        <v>ㆻ</v>
      </c>
      <c r="AX70" s="290" t="str">
        <v>ㆷ</v>
      </c>
      <c r="AY70" s="290" t="str">
        <v>ˉ</v>
      </c>
      <c r="AZ70" s="290" t="str">
        <v>^</v>
      </c>
      <c r="BA70" s="290" t="str">
        <v>ˋ</v>
      </c>
      <c r="BB70" s="290" t="str">
        <v>ˇ</v>
      </c>
      <c r="BC70" s="290" t="str">
        <v>ˊ</v>
      </c>
      <c r="BD70" s="290" t="str">
        <v>ˉ</v>
      </c>
      <c r="BE70" s="290" t="str">
        <v>ˊ</v>
      </c>
      <c r="BF70" s="290" t="str">
        <v>˙</v>
      </c>
      <c r="BG70" s="290" t="str">
        <v>入</v>
      </c>
      <c r="BH70" s="290" t="str">
        <v>ㄥ</v>
      </c>
      <c r="BI70" s="290" t="str">
        <v>ñ</v>
      </c>
      <c r="BJ70" s="82"/>
      <c r="BK70" s="82"/>
    </row>
    <row r="71" spans="1:109"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</row>
    <row r="72" spans="1:109" ht="39">
      <c r="B72" s="303" t="str">
        <f>_xlfn.CONCAT("  alphabet: """,B69:AX69,BF69:BH69,AY69:BE69,"""")</f>
        <v xml:space="preserve">  alphabet: "a!1qs2wxNEedYyhnRrfvc8uKj,ik9l*UJ&lt;I(Lmp/M0;Oobtgz7.?:5346[]"</v>
      </c>
      <c r="C72" s="303"/>
      <c r="D72" s="303"/>
      <c r="E72" s="303"/>
      <c r="F72" s="303"/>
      <c r="G72" s="303"/>
      <c r="H72" s="303"/>
      <c r="I72" s="303"/>
      <c r="J72" s="303"/>
      <c r="K72" s="303"/>
      <c r="L72" s="303"/>
      <c r="M72" s="303"/>
      <c r="N72" s="303"/>
      <c r="O72" s="303"/>
      <c r="P72" s="303"/>
      <c r="Q72" s="303"/>
      <c r="R72" s="303"/>
      <c r="S72" s="303"/>
      <c r="T72" s="303"/>
      <c r="U72" s="303"/>
      <c r="V72" s="303"/>
      <c r="W72" s="303"/>
      <c r="X72" s="303"/>
      <c r="Y72" s="303"/>
      <c r="Z72" s="303"/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82"/>
      <c r="BK72" s="82"/>
    </row>
    <row r="73" spans="1:109" ht="45" customHeight="1">
      <c r="B73" s="303" t="str">
        <f>_xlfn.CONCAT("  initials: """,B69:AX69,BF69:BH69,"""")</f>
        <v xml:space="preserve">  initials: "a!1qs2wxNEedYyhnRrfvc8uKj,ik9l*UJ&lt;I(Lmp/M0;Oobtgz7.?"</v>
      </c>
      <c r="C73" s="303"/>
      <c r="D73" s="303"/>
      <c r="E73" s="303"/>
      <c r="F73" s="303"/>
      <c r="G73" s="303"/>
      <c r="H73" s="303"/>
      <c r="I73" s="303"/>
      <c r="J73" s="303"/>
      <c r="K73" s="303"/>
      <c r="L73" s="303"/>
      <c r="M73" s="303"/>
      <c r="N73" s="303"/>
      <c r="O73" s="303"/>
      <c r="P73" s="303"/>
      <c r="Q73" s="303"/>
      <c r="R73" s="303"/>
      <c r="S73" s="303"/>
      <c r="T73" s="303"/>
      <c r="U73" s="303"/>
      <c r="V73" s="303"/>
      <c r="W73" s="303"/>
      <c r="X73" s="303"/>
      <c r="Y73" s="303"/>
      <c r="Z73" s="303"/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82"/>
      <c r="BK73" s="82"/>
    </row>
    <row r="74" spans="1:109" ht="45" customHeight="1">
      <c r="A74" s="295">
        <f xml:space="preserve"> LEN(B87)</f>
        <v>60</v>
      </c>
      <c r="B74" s="303" t="str">
        <f>_xlfn.CONCAT("  finals: """,AY69:BE69,"""")</f>
        <v xml:space="preserve">  finals: ":5346[]"</v>
      </c>
      <c r="C74" s="303"/>
      <c r="D74" s="303"/>
      <c r="E74" s="303"/>
      <c r="F74" s="303"/>
      <c r="G74" s="303"/>
      <c r="H74" s="303"/>
      <c r="I74" s="303"/>
      <c r="J74" s="303"/>
      <c r="K74" s="303"/>
      <c r="L74" s="303"/>
      <c r="M74" s="303"/>
      <c r="N74" s="303"/>
      <c r="O74" s="303"/>
      <c r="P74" s="303"/>
      <c r="Q74" s="303"/>
      <c r="R74" s="303"/>
      <c r="S74" s="303"/>
      <c r="T74" s="303"/>
      <c r="U74" s="303"/>
      <c r="V74" s="303"/>
      <c r="W74" s="303"/>
      <c r="X74" s="303"/>
      <c r="Y74" s="303"/>
      <c r="Z74" s="303"/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82"/>
      <c r="BK74" s="82"/>
    </row>
    <row r="75" spans="1:109" ht="45" customHeight="1">
      <c r="A75" s="295">
        <f xml:space="preserve"> LEN(B88)</f>
        <v>60</v>
      </c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</row>
    <row r="76" spans="1:109" ht="45" customHeight="1"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</row>
    <row r="77" spans="1:109" ht="39">
      <c r="B77" s="294" t="str">
        <f>_xlfn.CONCAT(_xlfn.ANCHORARRAY(B68))</f>
        <v>mBbpndtlŋvgkZzcsJjCShaiwueOoIURDXEQxyMNGY@AWHPTKV16532780&amp;L*</v>
      </c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</row>
    <row r="78" spans="1:109" ht="39">
      <c r="B78" s="294" t="str">
        <f>_xlfn.CONCAT(_xlfn.ANCHORARRAY(B69))</f>
        <v>a!1qs2wxNEedYyhnRrfvc8uKj,ik9l*UJ&lt;I(Lmp/M0;Oobtgz:5346[]7.?-</v>
      </c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</row>
    <row r="79" spans="1:109" ht="39">
      <c r="B79" s="294" t="str">
        <f xml:space="preserve"> _xlfn.CONCAT("    - xlit|", B77, "|", B78,"|")</f>
        <v xml:space="preserve">    - xlit|mBbpndtlŋvgkZzcsJjCShaiwueOoIURDXEQxyMNGY@AWHPTKV16532780&amp;L*|a!1qs2wxNEedYyhnRrfvc8uKj,ik9l*UJ&lt;I(Lmp/M0;Oobtgz:5346[]7.?-|</v>
      </c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</row>
    <row r="80" spans="1:109">
      <c r="A80" s="295">
        <f xml:space="preserve"> LEN(B93)</f>
        <v>49</v>
      </c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</row>
    <row r="81" spans="1:63">
      <c r="A81" s="295">
        <f xml:space="preserve"> LEN(B94)</f>
        <v>49</v>
      </c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</row>
    <row r="82" spans="1:63" ht="39">
      <c r="B82" s="294" t="str">
        <f>_xlfn.CONCAT(B69:AX69)</f>
        <v>a!1qs2wxNEedYyhnRrfvc8uKj,ik9l*UJ&lt;I(Lmp/M0;Oobtgz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</row>
    <row r="83" spans="1:63" ht="39">
      <c r="B83" s="294" t="str">
        <f>_xlfn.CONCAT(B70:AX70)</f>
        <v>ㄇㆠㄅㄆㄋㄉㄊㄌㄫㆣㄍㄎㆡㄗㄘㄙㆢㄐㄑㄒㄏㄚㄧㆨㄨㆤㆦㄜㄞㄠㆩㆪㆫㆥㆧㆮㆯㆬㄣㆭㆰㄢㄤㆱㆲㆴㆵㆻㆷ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</row>
    <row r="84" spans="1:63" ht="39">
      <c r="B84" s="294" t="str">
        <f xml:space="preserve"> _xlfn.CONCAT("    - xlit|", B82, "|", B83,"|")</f>
        <v xml:space="preserve">    - xlit|a!1qs2wxNEedYyhnRrfvc8uKj,ik9l*UJ&lt;I(Lmp/M0;Oobtgz|ㄇㆠㄅㄆㄋㄉㄊㄌㄫㆣㄍㄎㆡㄗㄘㄙㆢㄐㄑㄒㄏㄚㄧㆨㄨㆤㆦㄜㄞㄠㆩㆪㆫㆥㆧㆮㆯㆬㄣㆭㆰㄢㄤㆱㆲㆴㆵㆻㆷ|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</row>
    <row r="85" spans="1:63" ht="39">
      <c r="B85" s="303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</row>
    <row r="86" spans="1:63" ht="39">
      <c r="A86" s="295"/>
      <c r="B86" s="303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</row>
    <row r="87" spans="1:63" ht="39">
      <c r="A87" s="295"/>
      <c r="B87" s="294" t="str">
        <f>_xlfn.CONCAT(_xlfn.ANCHORARRAY(B69))</f>
        <v>a!1qs2wxNEedYyhnRrfvc8uKj,ik9l*UJ&lt;I(Lmp/M0;Oobtgz:5346[]7.?-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</row>
    <row r="88" spans="1:63" ht="39">
      <c r="B88" s="294" t="str">
        <f>_xlfn.CONCAT(_xlfn.ANCHORARRAY(B70))</f>
        <v>ㄇㆠㄅㄆㄋㄉㄊㄌㄫㆣㄍㄎㆡㄗㄘㄙㆢㄐㄑㄒㄏㄚㄧㆨㄨㆤㆦㄜㄞㄠㆩㆪㆫㆥㆧㆮㆯㆬㄣㆭㆰㄢㄤㆱㆲㆴㆵㆻㆷˉ^ˋˇˊˉˊ˙入ㄥñ</v>
      </c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</row>
    <row r="89" spans="1:63" ht="39">
      <c r="B89" s="294" t="str">
        <f xml:space="preserve"> _xlfn.CONCAT("    - xlit|", B87, "|", B88,"|")</f>
        <v xml:space="preserve">    - xlit|a!1qs2wxNEedYyhnRrfvc8uKj,ik9l*UJ&lt;I(Lmp/M0;Oobtgz:5346[]7.?-|ㄇㆠㄅㄆㄋㄉㄊㄌㄫㆣㄍㄎㆡㄗㄘㄙㆢㄐㄑㄒㄏㄚㄧㆨㄨㆤㆦㄜㄞㄠㆩㆪㆫㆥㆧㆮㆯㆬㄣㆭㆰㄢㄤㆱㆲㆴㆵㆻㆷˉ^ˋˇˊˉˊ˙入ㄥñ|</v>
      </c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</row>
    <row r="90" spans="1:63" ht="39">
      <c r="B90" s="303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</row>
    <row r="91" spans="1:63" ht="39">
      <c r="B91" s="303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</row>
    <row r="92" spans="1:63">
      <c r="A92" s="295">
        <f ca="1" xml:space="preserve"> LEN(B104)</f>
        <v>49</v>
      </c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</row>
    <row r="93" spans="1:63">
      <c r="A93" s="295">
        <f ca="1" xml:space="preserve"> LEN(B105)</f>
        <v>49</v>
      </c>
      <c r="B93" s="288" t="s">
        <v>599</v>
      </c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</row>
    <row r="94" spans="1:63">
      <c r="B94" s="288" t="s">
        <v>600</v>
      </c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</row>
    <row r="95" spans="1:63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 t="s">
        <v>109</v>
      </c>
      <c r="AV95" s="82" t="s">
        <v>15</v>
      </c>
      <c r="AW95" s="82" t="s">
        <v>107</v>
      </c>
      <c r="AX95" s="82" t="s">
        <v>106</v>
      </c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</row>
    <row r="96" spans="1:63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G96" s="82"/>
      <c r="BH96" s="82"/>
      <c r="BI96" s="82"/>
    </row>
    <row r="97" spans="2:61">
      <c r="B97" s="283">
        <v>1</v>
      </c>
      <c r="C97" s="283">
        <v>2</v>
      </c>
      <c r="D97" s="283">
        <v>3</v>
      </c>
      <c r="E97" s="283">
        <v>4</v>
      </c>
      <c r="F97" s="283">
        <v>5</v>
      </c>
      <c r="G97" s="283">
        <v>6</v>
      </c>
      <c r="H97" s="283">
        <v>7</v>
      </c>
      <c r="I97" s="283">
        <v>8</v>
      </c>
      <c r="J97" s="283">
        <v>9</v>
      </c>
      <c r="K97" s="283">
        <v>10</v>
      </c>
      <c r="L97" s="283">
        <v>11</v>
      </c>
      <c r="M97" s="283">
        <v>12</v>
      </c>
      <c r="N97" s="283">
        <v>13</v>
      </c>
      <c r="O97" s="283">
        <v>14</v>
      </c>
      <c r="P97" s="283">
        <v>15</v>
      </c>
      <c r="Q97" s="283">
        <v>16</v>
      </c>
      <c r="R97" s="283">
        <v>17</v>
      </c>
      <c r="S97" s="284">
        <v>18</v>
      </c>
      <c r="T97" s="283">
        <v>19</v>
      </c>
      <c r="U97" s="283">
        <v>20</v>
      </c>
      <c r="V97" s="283">
        <v>21</v>
      </c>
      <c r="W97" s="283">
        <v>22</v>
      </c>
      <c r="X97" s="283">
        <v>23</v>
      </c>
      <c r="Y97" s="283">
        <v>24</v>
      </c>
      <c r="Z97" s="283">
        <v>25</v>
      </c>
      <c r="AA97" s="283">
        <v>26</v>
      </c>
      <c r="AB97" s="283">
        <v>27</v>
      </c>
      <c r="AC97" s="283">
        <v>28</v>
      </c>
      <c r="AD97" s="283">
        <v>29</v>
      </c>
      <c r="AE97" s="283">
        <v>30</v>
      </c>
      <c r="AF97" s="283">
        <v>31</v>
      </c>
      <c r="AG97" s="283">
        <v>32</v>
      </c>
      <c r="AH97" s="285">
        <v>33</v>
      </c>
      <c r="AI97" s="285">
        <v>34</v>
      </c>
      <c r="AJ97" s="285">
        <v>35</v>
      </c>
      <c r="AK97" s="285">
        <v>36</v>
      </c>
      <c r="AL97" s="286">
        <v>37</v>
      </c>
      <c r="AM97" s="285">
        <v>38</v>
      </c>
      <c r="AN97" s="285">
        <v>39</v>
      </c>
      <c r="AO97" s="285">
        <v>40</v>
      </c>
      <c r="AP97" s="285">
        <v>41</v>
      </c>
      <c r="AQ97" s="285">
        <v>42</v>
      </c>
      <c r="AR97" s="285">
        <v>43</v>
      </c>
      <c r="AS97" s="285">
        <v>44</v>
      </c>
      <c r="AT97" s="285">
        <v>45</v>
      </c>
      <c r="AU97" s="285">
        <v>46</v>
      </c>
      <c r="AV97" s="285">
        <v>47</v>
      </c>
      <c r="AW97" s="285">
        <v>48</v>
      </c>
      <c r="AX97" s="285">
        <v>49</v>
      </c>
      <c r="AY97" s="285">
        <v>50</v>
      </c>
      <c r="AZ97" s="285">
        <v>51</v>
      </c>
      <c r="BA97" s="285">
        <v>52</v>
      </c>
      <c r="BB97" s="285">
        <v>53</v>
      </c>
      <c r="BC97" s="285">
        <v>54</v>
      </c>
      <c r="BD97" s="285">
        <v>55</v>
      </c>
      <c r="BE97" s="285">
        <v>56</v>
      </c>
      <c r="BF97" s="285">
        <v>57</v>
      </c>
      <c r="BG97" s="285">
        <v>58</v>
      </c>
      <c r="BH97" s="285">
        <v>59</v>
      </c>
      <c r="BI97" s="285">
        <v>60</v>
      </c>
    </row>
    <row r="98" spans="2:61">
      <c r="B98" s="287" t="str" cm="1">
        <f t="array" aca="1" ref="B98" ca="1" xml:space="preserve"> MID($B$93, INDIRECT( ADDRESS(ROW()-1, COLUMN()) ),1)</f>
        <v>1</v>
      </c>
      <c r="C98" s="287" t="str" cm="1">
        <f t="array" aca="1" ref="C98" ca="1" xml:space="preserve"> MID($B$93, INDIRECT( ADDRESS(ROW()-1, COLUMN()) ),1)</f>
        <v>!</v>
      </c>
      <c r="D98" s="287" t="str" cm="1">
        <f t="array" aca="1" ref="D98" ca="1" xml:space="preserve"> MID($B$93, INDIRECT( ADDRESS(ROW()-1, COLUMN()) ),1)</f>
        <v>q</v>
      </c>
      <c r="E98" s="287" t="str" cm="1">
        <f t="array" aca="1" ref="E98" ca="1" xml:space="preserve"> MID($B$93, INDIRECT( ADDRESS(ROW()-1, COLUMN()) ),1)</f>
        <v>a</v>
      </c>
      <c r="F98" s="287" t="str" cm="1">
        <f t="array" aca="1" ref="F98" ca="1" xml:space="preserve"> MID($B$93, INDIRECT( ADDRESS(ROW()-1, COLUMN()) ),1)</f>
        <v>2</v>
      </c>
      <c r="G98" s="287" t="str" cm="1">
        <f t="array" aca="1" ref="G98" ca="1" xml:space="preserve"> MID($B$93, INDIRECT( ADDRESS(ROW()-1, COLUMN()) ),1)</f>
        <v>w</v>
      </c>
      <c r="H98" s="287" t="str" cm="1">
        <f t="array" aca="1" ref="H98" ca="1" xml:space="preserve"> MID($B$93, INDIRECT( ADDRESS(ROW()-1, COLUMN()) ),1)</f>
        <v>s</v>
      </c>
      <c r="I98" s="287" t="str" cm="1">
        <f t="array" aca="1" ref="I98" ca="1" xml:space="preserve"> MID($B$93, INDIRECT( ADDRESS(ROW()-1, COLUMN()) ),1)</f>
        <v>x</v>
      </c>
      <c r="J98" s="287" t="str" cm="1">
        <f t="array" aca="1" ref="J98" ca="1" xml:space="preserve"> MID($B$93, INDIRECT( ADDRESS(ROW()-1, COLUMN()) ),1)</f>
        <v>e</v>
      </c>
      <c r="K98" s="287" t="str" cm="1">
        <f t="array" aca="1" ref="K98" ca="1" xml:space="preserve"> MID($B$93, INDIRECT( ADDRESS(ROW()-1, COLUMN()) ),1)</f>
        <v>E</v>
      </c>
      <c r="L98" s="287" t="str" cm="1">
        <f t="array" aca="1" ref="L98" ca="1" xml:space="preserve"> MID($B$93, INDIRECT( ADDRESS(ROW()-1, COLUMN()) ),1)</f>
        <v>d</v>
      </c>
      <c r="M98" s="287" t="s">
        <v>601</v>
      </c>
      <c r="N98" s="287" t="str" cm="1">
        <f t="array" aca="1" ref="N98" ca="1" xml:space="preserve"> MID($B$93, INDIRECT( ADDRESS(ROW()-1, COLUMN()) ),1)</f>
        <v>c</v>
      </c>
      <c r="O98" s="287" t="str" cm="1">
        <f t="array" aca="1" ref="O98" ca="1" xml:space="preserve"> MID($B$93, INDIRECT( ADDRESS(ROW()-1, COLUMN()) ),1)</f>
        <v>r</v>
      </c>
      <c r="P98" s="287" t="str" cm="1">
        <f t="array" aca="1" ref="P98" ca="1" xml:space="preserve"> MID($B$93, INDIRECT( ADDRESS(ROW()-1, COLUMN()) ),1)</f>
        <v>R</v>
      </c>
      <c r="Q98" s="287" t="str" cm="1">
        <f t="array" aca="1" ref="Q98" ca="1" xml:space="preserve"> MID($B$93, INDIRECT( ADDRESS(ROW()-1, COLUMN()) ),1)</f>
        <v>f</v>
      </c>
      <c r="R98" s="287" t="str" cm="1">
        <f t="array" aca="1" ref="R98" ca="1" xml:space="preserve"> MID($B$93, INDIRECT( ADDRESS(ROW()-1, COLUMN()) ),1)</f>
        <v>v</v>
      </c>
      <c r="S98" s="287" t="str" cm="1">
        <f t="array" aca="1" ref="S98" ca="1" xml:space="preserve"> MID($B$93, INDIRECT( ADDRESS(ROW()-1, COLUMN()) ),1)</f>
        <v>y</v>
      </c>
      <c r="T98" s="287" t="str" cm="1">
        <f t="array" aca="1" ref="T98" ca="1" xml:space="preserve"> MID($B$93, INDIRECT( ADDRESS(ROW()-1, COLUMN()) ),1)</f>
        <v>Y</v>
      </c>
      <c r="U98" s="287" t="str" cm="1">
        <f t="array" aca="1" ref="U98" ca="1" xml:space="preserve"> MID($B$93, INDIRECT( ADDRESS(ROW()-1, COLUMN()) ),1)</f>
        <v>h</v>
      </c>
      <c r="V98" s="287" t="str" cm="1">
        <f t="array" aca="1" ref="V98" ca="1" xml:space="preserve"> MID($B$93, INDIRECT( ADDRESS(ROW()-1, COLUMN()) ),1)</f>
        <v>n</v>
      </c>
      <c r="W98" s="287" t="str" cm="1">
        <f t="array" aca="1" ref="W98" ca="1" xml:space="preserve"> MID($B$93, INDIRECT( ADDRESS(ROW()-1, COLUMN()) ),1)</f>
        <v>u</v>
      </c>
      <c r="X98" s="287" t="str" cm="1">
        <f t="array" aca="1" ref="X98" ca="1" xml:space="preserve"> MID($B$93, INDIRECT( ADDRESS(ROW()-1, COLUMN()) ),1)</f>
        <v>U</v>
      </c>
      <c r="Y98" s="287" t="str" cm="1">
        <f t="array" aca="1" ref="Y98" ca="1" xml:space="preserve"> MID($B$93, INDIRECT( ADDRESS(ROW()-1, COLUMN()) ),1)</f>
        <v>j</v>
      </c>
      <c r="Z98" s="287" t="str" cm="1">
        <f t="array" aca="1" ref="Z98" ca="1" xml:space="preserve"> MID($B$93, INDIRECT( ADDRESS(ROW()-1, COLUMN()) ),1)</f>
        <v>J</v>
      </c>
      <c r="AA98" s="287" t="str" cm="1">
        <f t="array" aca="1" ref="AA98" ca="1" xml:space="preserve"> MID($B$93, INDIRECT( ADDRESS(ROW()-1, COLUMN()) ),1)</f>
        <v>8</v>
      </c>
      <c r="AB98" s="287" t="str" cm="1">
        <f t="array" aca="1" ref="AB98" ca="1" xml:space="preserve"> MID($B$93, INDIRECT( ADDRESS(ROW()-1, COLUMN()) ),1)</f>
        <v>*</v>
      </c>
      <c r="AC98" s="287" t="str" cm="1">
        <f t="array" aca="1" ref="AC98" ca="1" xml:space="preserve"> MID($B$93, INDIRECT( ADDRESS(ROW()-1, COLUMN()) ),1)</f>
        <v>i</v>
      </c>
      <c r="AD98" s="287" t="str" cm="1">
        <f t="array" aca="1" ref="AD98" ca="1" xml:space="preserve"> MID($B$93, INDIRECT( ADDRESS(ROW()-1, COLUMN()) ),1)</f>
        <v>I</v>
      </c>
      <c r="AE98" s="287" t="str" cm="1">
        <f t="array" aca="1" ref="AE98" ca="1" xml:space="preserve"> MID($B$93, INDIRECT( ADDRESS(ROW()-1, COLUMN()) ),1)</f>
        <v>k</v>
      </c>
      <c r="AF98" s="287" t="str" cm="1">
        <f t="array" aca="1" ref="AF98" ca="1" xml:space="preserve"> MID($B$93, INDIRECT( ADDRESS(ROW()-1, COLUMN()) ),1)</f>
        <v>,</v>
      </c>
      <c r="AG98" s="287" t="str" cm="1">
        <f t="array" aca="1" ref="AG98" ca="1" xml:space="preserve"> MID($B$93, INDIRECT( ADDRESS(ROW()-1, COLUMN()) ),1)</f>
        <v>&lt;</v>
      </c>
      <c r="AH98" s="287" t="str" cm="1">
        <f t="array" aca="1" ref="AH98" ca="1" xml:space="preserve"> MID($B$93, INDIRECT( ADDRESS(ROW()-1, COLUMN()) ),1)</f>
        <v>9</v>
      </c>
      <c r="AI98" s="287" t="str" cm="1">
        <f t="array" aca="1" ref="AI98" ca="1" xml:space="preserve"> MID($B$93, INDIRECT( ADDRESS(ROW()-1, COLUMN()) ),1)</f>
        <v>(</v>
      </c>
      <c r="AJ98" s="287" t="str" cm="1">
        <f t="array" aca="1" ref="AJ98" ca="1" xml:space="preserve"> MID($B$93, INDIRECT( ADDRESS(ROW()-1, COLUMN()) ),1)</f>
        <v>l</v>
      </c>
      <c r="AK98" s="287" t="str" cm="1">
        <f t="array" aca="1" ref="AK98" ca="1" xml:space="preserve"> MID($B$93, INDIRECT( ADDRESS(ROW()-1, COLUMN()) ),1)</f>
        <v>L</v>
      </c>
      <c r="AL98" s="287" t="str" cm="1">
        <f t="array" aca="1" ref="AL98" ca="1" xml:space="preserve"> MID($B$93, INDIRECT( ADDRESS(ROW()-1, COLUMN()) ),1)</f>
        <v>;</v>
      </c>
      <c r="AM98" s="287" t="str" cm="1">
        <f t="array" aca="1" ref="AM98" ca="1" xml:space="preserve"> MID($B$93, INDIRECT( ADDRESS(ROW()-1, COLUMN()) ),1)</f>
        <v>o</v>
      </c>
      <c r="AN98" s="287" t="str" cm="1">
        <f t="array" aca="1" ref="AN98" ca="1" xml:space="preserve"> MID($B$93, INDIRECT( ADDRESS(ROW()-1, COLUMN()) ),1)</f>
        <v>M</v>
      </c>
      <c r="AO98" s="287" t="str" cm="1">
        <f t="array" aca="1" ref="AO98" ca="1" xml:space="preserve"> MID($B$93, INDIRECT( ADDRESS(ROW()-1, COLUMN()) ),1)</f>
        <v>O</v>
      </c>
      <c r="AP98" s="287" t="str" cm="1">
        <f t="array" aca="1" ref="AP98" ca="1" xml:space="preserve"> MID($B$93, INDIRECT( ADDRESS(ROW()-1, COLUMN()) ),1)</f>
        <v>0</v>
      </c>
      <c r="AQ98" s="287" t="str" cm="1">
        <f t="array" aca="1" ref="AQ98" ca="1" xml:space="preserve"> MID($B$93, INDIRECT( ADDRESS(ROW()-1, COLUMN()) ),1)</f>
        <v>m</v>
      </c>
      <c r="AR98" s="287" t="str" cm="1">
        <f t="array" aca="1" ref="AR98" ca="1" xml:space="preserve"> MID($B$93, INDIRECT( ADDRESS(ROW()-1, COLUMN()) ),1)</f>
        <v>p</v>
      </c>
      <c r="AS98" s="287" t="str" cm="1">
        <f t="array" aca="1" ref="AS98" ca="1" xml:space="preserve"> MID($B$93, INDIRECT( ADDRESS(ROW()-1, COLUMN()) ),1)</f>
        <v>/</v>
      </c>
      <c r="AT98" s="287" t="str" cm="1">
        <f t="array" aca="1" ref="AT98" ca="1" xml:space="preserve"> MID($B$93, INDIRECT( ADDRESS(ROW()-1, COLUMN()) ),1)</f>
        <v>K</v>
      </c>
      <c r="AU98" s="287" t="s">
        <v>602</v>
      </c>
      <c r="AV98" s="287" t="s">
        <v>603</v>
      </c>
      <c r="AW98" s="287" t="s">
        <v>604</v>
      </c>
      <c r="AX98" s="287" t="s">
        <v>605</v>
      </c>
      <c r="AY98" s="287" t="str" cm="1">
        <f t="array" aca="1" ref="AY98" ca="1" xml:space="preserve"> MID($B$93, INDIRECT( ADDRESS(ROW()-1, COLUMN()) ),1)</f>
        <v/>
      </c>
      <c r="AZ98" s="287" t="str" cm="1">
        <f t="array" aca="1" ref="AZ98" ca="1" xml:space="preserve"> MID($B$93, INDIRECT( ADDRESS(ROW()-1, COLUMN()) ),1)</f>
        <v/>
      </c>
      <c r="BA98" s="287" t="str" cm="1">
        <f t="array" aca="1" ref="BA98" ca="1" xml:space="preserve"> MID($B$93, INDIRECT( ADDRESS(ROW()-1, COLUMN()) ),1)</f>
        <v/>
      </c>
      <c r="BB98" s="287" t="str" cm="1">
        <f t="array" aca="1" ref="BB98" ca="1" xml:space="preserve"> MID($B$93, INDIRECT( ADDRESS(ROW()-1, COLUMN()) ),1)</f>
        <v/>
      </c>
      <c r="BC98" s="287" t="str" cm="1">
        <f t="array" aca="1" ref="BC98" ca="1" xml:space="preserve"> MID($B$93, INDIRECT( ADDRESS(ROW()-1, COLUMN()) ),1)</f>
        <v/>
      </c>
      <c r="BD98" s="287" t="str" cm="1">
        <f t="array" aca="1" ref="BD98" ca="1" xml:space="preserve"> MID($B$93, INDIRECT( ADDRESS(ROW()-1, COLUMN()) ),1)</f>
        <v/>
      </c>
      <c r="BE98" s="287" t="str" cm="1">
        <f t="array" aca="1" ref="BE98" ca="1" xml:space="preserve"> MID($B$93, INDIRECT( ADDRESS(ROW()-1, COLUMN()) ),1)</f>
        <v/>
      </c>
      <c r="BF98" s="287" t="str" cm="1">
        <f t="array" aca="1" ref="BF98" ca="1" xml:space="preserve"> MID($B$93, INDIRECT( ADDRESS(ROW()-1, COLUMN()) ),1)</f>
        <v/>
      </c>
      <c r="BG98" s="287" t="str" cm="1">
        <f t="array" aca="1" ref="BG98" ca="1" xml:space="preserve"> MID($B$93, INDIRECT( ADDRESS(ROW()-1, COLUMN()) ),1)</f>
        <v/>
      </c>
      <c r="BH98" s="287" t="str" cm="1">
        <f t="array" aca="1" ref="BH98" ca="1" xml:space="preserve"> MID($B$93, INDIRECT( ADDRESS(ROW()-1, COLUMN()) ),1)</f>
        <v/>
      </c>
      <c r="BI98" s="287" t="str" cm="1">
        <f t="array" aca="1" ref="BI98" ca="1" xml:space="preserve"> MID($B$93, INDIRECT( ADDRESS(ROW()-1, COLUMN()) ),1)</f>
        <v/>
      </c>
    </row>
    <row r="99" spans="2:61">
      <c r="B99" s="287" t="str" cm="1">
        <f t="array" aca="1" ref="B99" ca="1" xml:space="preserve"> MID($B$94, INDIRECT( ADDRESS(ROW()-2, COLUMN()) ),1)</f>
        <v>ㄅ</v>
      </c>
      <c r="C99" s="287" t="str" cm="1">
        <f t="array" aca="1" ref="C99" ca="1" xml:space="preserve"> MID($B$94, INDIRECT( ADDRESS(ROW()-2, COLUMN()) ),1)</f>
        <v>ㆠ</v>
      </c>
      <c r="D99" s="287" t="str" cm="1">
        <f t="array" aca="1" ref="D99" ca="1" xml:space="preserve"> MID($B$94, INDIRECT( ADDRESS(ROW()-2, COLUMN()) ),1)</f>
        <v>ㄆ</v>
      </c>
      <c r="E99" s="287" t="str" cm="1">
        <f t="array" aca="1" ref="E99" ca="1" xml:space="preserve"> MID($B$94, INDIRECT( ADDRESS(ROW()-2, COLUMN()) ),1)</f>
        <v>ㄇ</v>
      </c>
      <c r="F99" s="287" t="str" cm="1">
        <f t="array" aca="1" ref="F99" ca="1" xml:space="preserve"> MID($B$94, INDIRECT( ADDRESS(ROW()-2, COLUMN()) ),1)</f>
        <v>ㄉ</v>
      </c>
      <c r="G99" s="287" t="str" cm="1">
        <f t="array" aca="1" ref="G99" ca="1" xml:space="preserve"> MID($B$94, INDIRECT( ADDRESS(ROW()-2, COLUMN()) ),1)</f>
        <v>ㄊ</v>
      </c>
      <c r="H99" s="287" t="str" cm="1">
        <f t="array" aca="1" ref="H99" ca="1" xml:space="preserve"> MID($B$94, INDIRECT( ADDRESS(ROW()-2, COLUMN()) ),1)</f>
        <v>ㄋ</v>
      </c>
      <c r="I99" s="287" t="str" cm="1">
        <f t="array" aca="1" ref="I99" ca="1" xml:space="preserve"> MID($B$94, INDIRECT( ADDRESS(ROW()-2, COLUMN()) ),1)</f>
        <v>ㄌ</v>
      </c>
      <c r="J99" s="287" t="str" cm="1">
        <f t="array" aca="1" ref="J99" ca="1" xml:space="preserve"> MID($B$94, INDIRECT( ADDRESS(ROW()-2, COLUMN()) ),1)</f>
        <v>ㄍ</v>
      </c>
      <c r="K99" s="287" t="str" cm="1">
        <f t="array" aca="1" ref="K99" ca="1" xml:space="preserve"> MID($B$94, INDIRECT( ADDRESS(ROW()-2, COLUMN()) ),1)</f>
        <v>ㆣ</v>
      </c>
      <c r="L99" s="287" t="str" cm="1">
        <f t="array" aca="1" ref="L99" ca="1" xml:space="preserve"> MID($B$94, INDIRECT( ADDRESS(ROW()-2, COLUMN()) ),1)</f>
        <v>ㄎ</v>
      </c>
      <c r="M99" s="287" t="str" cm="1">
        <f t="array" aca="1" ref="M99" ca="1" xml:space="preserve"> MID($B$94, INDIRECT( ADDRESS(ROW()-2, COLUMN()) ),1)</f>
        <v>ㄫ</v>
      </c>
      <c r="N99" s="287" t="str" cm="1">
        <f t="array" aca="1" ref="N99" ca="1" xml:space="preserve"> MID($B$94, INDIRECT( ADDRESS(ROW()-2, COLUMN()) ),1)</f>
        <v>ㄏ</v>
      </c>
      <c r="O99" s="287" t="str" cm="1">
        <f t="array" aca="1" ref="O99" ca="1" xml:space="preserve"> MID($B$94, INDIRECT( ADDRESS(ROW()-2, COLUMN()) ),1)</f>
        <v>ㄐ</v>
      </c>
      <c r="P99" s="287" t="str" cm="1">
        <f t="array" aca="1" ref="P99" ca="1" xml:space="preserve"> MID($B$94, INDIRECT( ADDRESS(ROW()-2, COLUMN()) ),1)</f>
        <v>ㆢ</v>
      </c>
      <c r="Q99" s="287" t="str" cm="1">
        <f t="array" aca="1" ref="Q99" ca="1" xml:space="preserve"> MID($B$94, INDIRECT( ADDRESS(ROW()-2, COLUMN()) ),1)</f>
        <v>ㄑ</v>
      </c>
      <c r="R99" s="287" t="str" cm="1">
        <f t="array" aca="1" ref="R99" ca="1" xml:space="preserve"> MID($B$94, INDIRECT( ADDRESS(ROW()-2, COLUMN()) ),1)</f>
        <v>ㄒ</v>
      </c>
      <c r="S99" s="287" t="str" cm="1">
        <f t="array" aca="1" ref="S99" ca="1" xml:space="preserve"> MID($B$94, INDIRECT( ADDRESS(ROW()-2, COLUMN()) ),1)</f>
        <v>ㄗ</v>
      </c>
      <c r="T99" s="287" t="str" cm="1">
        <f t="array" aca="1" ref="T99" ca="1" xml:space="preserve"> MID($B$94, INDIRECT( ADDRESS(ROW()-2, COLUMN()) ),1)</f>
        <v>ㆡ</v>
      </c>
      <c r="U99" s="287" t="str" cm="1">
        <f t="array" aca="1" ref="U99" ca="1" xml:space="preserve"> MID($B$94, INDIRECT( ADDRESS(ROW()-2, COLUMN()) ),1)</f>
        <v>ㄘ</v>
      </c>
      <c r="V99" s="287" t="str" cm="1">
        <f t="array" aca="1" ref="V99" ca="1" xml:space="preserve"> MID($B$94, INDIRECT( ADDRESS(ROW()-2, COLUMN()) ),1)</f>
        <v>ㄙ</v>
      </c>
      <c r="W99" s="287" t="str" cm="1">
        <f t="array" aca="1" ref="W99" ca="1" xml:space="preserve"> MID($B$94, INDIRECT( ADDRESS(ROW()-2, COLUMN()) ),1)</f>
        <v>ㄧ</v>
      </c>
      <c r="X99" s="287" t="str" cm="1">
        <f t="array" aca="1" ref="X99" ca="1" xml:space="preserve"> MID($B$94, INDIRECT( ADDRESS(ROW()-2, COLUMN()) ),1)</f>
        <v>ㆪ</v>
      </c>
      <c r="Y99" s="287" t="str" cm="1">
        <f t="array" aca="1" ref="Y99" ca="1" xml:space="preserve"> MID($B$94, INDIRECT( ADDRESS(ROW()-2, COLUMN()) ),1)</f>
        <v>ㄨ</v>
      </c>
      <c r="Z99" s="287" t="str" cm="1">
        <f t="array" aca="1" ref="Z99" ca="1" xml:space="preserve"> MID($B$94, INDIRECT( ADDRESS(ROW()-2, COLUMN()) ),1)</f>
        <v>ㆫ</v>
      </c>
      <c r="AA99" s="287" t="str" cm="1">
        <f t="array" aca="1" ref="AA99" ca="1" xml:space="preserve"> MID($B$94, INDIRECT( ADDRESS(ROW()-2, COLUMN()) ),1)</f>
        <v>ㄚ</v>
      </c>
      <c r="AB99" s="287" t="str" cm="1">
        <f t="array" aca="1" ref="AB99" ca="1" xml:space="preserve"> MID($B$94, INDIRECT( ADDRESS(ROW()-2, COLUMN()) ),1)</f>
        <v>ㆩ</v>
      </c>
      <c r="AC99" s="287" t="str" cm="1">
        <f t="array" aca="1" ref="AC99" ca="1" xml:space="preserve"> MID($B$94, INDIRECT( ADDRESS(ROW()-2, COLUMN()) ),1)</f>
        <v>ㆦ</v>
      </c>
      <c r="AD99" s="287" t="str" cm="1">
        <f t="array" aca="1" ref="AD99" ca="1" xml:space="preserve"> MID($B$94, INDIRECT( ADDRESS(ROW()-2, COLUMN()) ),1)</f>
        <v>ㆧ</v>
      </c>
      <c r="AE99" s="287" t="str" cm="1">
        <f t="array" aca="1" ref="AE99" ca="1" xml:space="preserve"> MID($B$94, INDIRECT( ADDRESS(ROW()-2, COLUMN()) ),1)</f>
        <v>ㄜ</v>
      </c>
      <c r="AF99" s="287" t="str" cm="1">
        <f t="array" aca="1" ref="AF99" ca="1" xml:space="preserve"> MID($B$94, INDIRECT( ADDRESS(ROW()-2, COLUMN()) ),1)</f>
        <v>ㆤ</v>
      </c>
      <c r="AG99" s="287" t="str" cm="1">
        <f t="array" aca="1" ref="AG99" ca="1" xml:space="preserve"> MID($B$94, INDIRECT( ADDRESS(ROW()-2, COLUMN()) ),1)</f>
        <v>ㆥ</v>
      </c>
      <c r="AH99" s="287" t="str" cm="1">
        <f t="array" aca="1" ref="AH99" ca="1" xml:space="preserve"> MID($B$94, INDIRECT( ADDRESS(ROW()-2, COLUMN()) ),1)</f>
        <v>ㄞ</v>
      </c>
      <c r="AI99" s="287" t="str" cm="1">
        <f t="array" aca="1" ref="AI99" ca="1" xml:space="preserve"> MID($B$94, INDIRECT( ADDRESS(ROW()-2, COLUMN()) ),1)</f>
        <v>ㆮ</v>
      </c>
      <c r="AJ99" s="287" t="str" cm="1">
        <f t="array" aca="1" ref="AJ99" ca="1" xml:space="preserve"> MID($B$94, INDIRECT( ADDRESS(ROW()-2, COLUMN()) ),1)</f>
        <v>ㄠ</v>
      </c>
      <c r="AK99" s="287" t="str" cm="1">
        <f t="array" aca="1" ref="AK99" ca="1" xml:space="preserve"> MID($B$94, INDIRECT( ADDRESS(ROW()-2, COLUMN()) ),1)</f>
        <v>ㆯ</v>
      </c>
      <c r="AL99" s="287" t="str" cm="1">
        <f t="array" aca="1" ref="AL99" ca="1" xml:space="preserve"> MID($B$94, INDIRECT( ADDRESS(ROW()-2, COLUMN()) ),1)</f>
        <v>ㄤ</v>
      </c>
      <c r="AM99" s="287" t="str" cm="1">
        <f t="array" aca="1" ref="AM99" ca="1" xml:space="preserve"> MID($B$94, INDIRECT( ADDRESS(ROW()-2, COLUMN()) ),1)</f>
        <v>ㆲ</v>
      </c>
      <c r="AN99" s="287" t="str" cm="1">
        <f t="array" aca="1" ref="AN99" ca="1" xml:space="preserve"> MID($B$94, INDIRECT( ADDRESS(ROW()-2, COLUMN()) ),1)</f>
        <v>ㆰ</v>
      </c>
      <c r="AO99" s="287" t="str" cm="1">
        <f t="array" aca="1" ref="AO99" ca="1" xml:space="preserve"> MID($B$94, INDIRECT( ADDRESS(ROW()-2, COLUMN()) ),1)</f>
        <v>ㆱ</v>
      </c>
      <c r="AP99" s="287" t="str" cm="1">
        <f t="array" aca="1" ref="AP99" ca="1" xml:space="preserve"> MID($B$94, INDIRECT( ADDRESS(ROW()-2, COLUMN()) ),1)</f>
        <v>ㄢ</v>
      </c>
      <c r="AQ99" s="287" t="str" cm="1">
        <f t="array" aca="1" ref="AQ99" ca="1" xml:space="preserve"> MID($B$94, INDIRECT( ADDRESS(ROW()-2, COLUMN()) ),1)</f>
        <v>ㆬ</v>
      </c>
      <c r="AR99" s="287" t="str" cm="1">
        <f t="array" aca="1" ref="AR99" ca="1" xml:space="preserve"> MID($B$94, INDIRECT( ADDRESS(ROW()-2, COLUMN()) ),1)</f>
        <v>ㄣ</v>
      </c>
      <c r="AS99" s="287" t="str" cm="1">
        <f t="array" aca="1" ref="AS99" ca="1" xml:space="preserve"> MID($B$94, INDIRECT( ADDRESS(ROW()-2, COLUMN()) ),1)</f>
        <v>ㆭ</v>
      </c>
      <c r="AT99" s="287" t="str" cm="1">
        <f t="array" aca="1" ref="AT99" ca="1" xml:space="preserve"> MID($B$94, INDIRECT( ADDRESS(ROW()-2, COLUMN()) ),1)</f>
        <v>ㆨ</v>
      </c>
      <c r="AU99" s="287" t="str" cm="1">
        <f t="array" aca="1" ref="AU99" ca="1" xml:space="preserve"> MID($B$94, INDIRECT( ADDRESS(ROW()-2, COLUMN()) ),1)</f>
        <v>ㆴ</v>
      </c>
      <c r="AV99" s="287" t="str" cm="1">
        <f t="array" aca="1" ref="AV99" ca="1" xml:space="preserve"> MID($B$94, INDIRECT( ADDRESS(ROW()-2, COLUMN()) ),1)</f>
        <v>ㆵ</v>
      </c>
      <c r="AW99" s="287" t="str" cm="1">
        <f t="array" aca="1" ref="AW99" ca="1" xml:space="preserve"> MID($B$94, INDIRECT( ADDRESS(ROW()-2, COLUMN()) ),1)</f>
        <v>ㆻ</v>
      </c>
      <c r="AX99" s="287" t="str" cm="1">
        <f t="array" aca="1" ref="AX99" ca="1" xml:space="preserve"> MID($B$94, INDIRECT( ADDRESS(ROW()-2, COLUMN()) ),1)</f>
        <v>ㆷ</v>
      </c>
      <c r="AY99" s="287" t="str" cm="1">
        <f t="array" aca="1" ref="AY99" ca="1" xml:space="preserve"> MID($B$94, INDIRECT( ADDRESS(ROW()-2, COLUMN()) ),1)</f>
        <v/>
      </c>
      <c r="AZ99" s="287" t="str" cm="1">
        <f t="array" aca="1" ref="AZ99" ca="1" xml:space="preserve"> MID($B$94, INDIRECT( ADDRESS(ROW()-2, COLUMN()) ),1)</f>
        <v/>
      </c>
      <c r="BA99" s="287" t="str" cm="1">
        <f t="array" aca="1" ref="BA99" ca="1" xml:space="preserve"> MID($B$94, INDIRECT( ADDRESS(ROW()-2, COLUMN()) ),1)</f>
        <v/>
      </c>
      <c r="BB99" s="287" t="str" cm="1">
        <f t="array" aca="1" ref="BB99" ca="1" xml:space="preserve"> MID($B$94, INDIRECT( ADDRESS(ROW()-2, COLUMN()) ),1)</f>
        <v/>
      </c>
      <c r="BC99" s="287" t="str" cm="1">
        <f t="array" aca="1" ref="BC99" ca="1" xml:space="preserve"> MID($B$94, INDIRECT( ADDRESS(ROW()-2, COLUMN()) ),1)</f>
        <v/>
      </c>
      <c r="BD99" s="287" t="str" cm="1">
        <f t="array" aca="1" ref="BD99" ca="1" xml:space="preserve"> MID($B$94, INDIRECT( ADDRESS(ROW()-2, COLUMN()) ),1)</f>
        <v/>
      </c>
      <c r="BE99" s="287" t="str" cm="1">
        <f t="array" aca="1" ref="BE99" ca="1" xml:space="preserve"> MID($B$94, INDIRECT( ADDRESS(ROW()-2, COLUMN()) ),1)</f>
        <v/>
      </c>
      <c r="BF99" s="287" t="str" cm="1">
        <f t="array" aca="1" ref="BF99" ca="1" xml:space="preserve"> MID($B$94, INDIRECT( ADDRESS(ROW()-2, COLUMN()) ),1)</f>
        <v/>
      </c>
      <c r="BG99" s="287" t="str" cm="1">
        <f t="array" aca="1" ref="BG99" ca="1" xml:space="preserve"> MID($B$94, INDIRECT( ADDRESS(ROW()-2, COLUMN()) ),1)</f>
        <v/>
      </c>
      <c r="BH99" s="287" t="str" cm="1">
        <f t="array" aca="1" ref="BH99" ca="1" xml:space="preserve"> MID($B$94, INDIRECT( ADDRESS(ROW()-2, COLUMN()) ),1)</f>
        <v/>
      </c>
      <c r="BI99" s="287" t="str" cm="1">
        <f t="array" aca="1" ref="BI99" ca="1" xml:space="preserve"> MID($B$94, INDIRECT( ADDRESS(ROW()-2, COLUMN()) ),1)</f>
        <v/>
      </c>
    </row>
    <row r="100" spans="2:61">
      <c r="B100" s="289" t="str" cm="1">
        <f t="array" aca="1" ref="B100" ca="1" xml:space="preserve"> IFERROR( INDEX(注音編碼對照表[方音符號], MATCH(TRUE, EXACT(B102, 注音編碼對照表[鍵盤按鍵]),0)), "")</f>
        <v>ㄅ</v>
      </c>
      <c r="C100" s="289" t="str" cm="1">
        <f t="array" aca="1" ref="C100" ca="1" xml:space="preserve"> IFERROR( INDEX(注音編碼對照表[方音符號], MATCH(TRUE, EXACT(C102, 注音編碼對照表[鍵盤按鍵]),0)), "")</f>
        <v>ㆠ</v>
      </c>
      <c r="D100" s="289" t="str" cm="1">
        <f t="array" aca="1" ref="D100" ca="1" xml:space="preserve"> IFERROR( INDEX(注音編碼對照表[方音符號], MATCH(TRUE, EXACT(D102, 注音編碼對照表[鍵盤按鍵]),0)), "")</f>
        <v>ㄆ</v>
      </c>
      <c r="E100" s="289" t="str" cm="1">
        <f t="array" aca="1" ref="E100" ca="1" xml:space="preserve"> IFERROR( INDEX(注音編碼對照表[方音符號], MATCH(TRUE, EXACT(E102, 注音編碼對照表[鍵盤按鍵]),0)), "")</f>
        <v>ㄇ</v>
      </c>
      <c r="F100" s="289" t="str" cm="1">
        <f t="array" aca="1" ref="F100" ca="1" xml:space="preserve"> IFERROR( INDEX(注音編碼對照表[方音符號], MATCH(TRUE, EXACT(F102, 注音編碼對照表[鍵盤按鍵]),0)), "")</f>
        <v>ㄉ</v>
      </c>
      <c r="G100" s="289" t="str" cm="1">
        <f t="array" aca="1" ref="G100" ca="1" xml:space="preserve"> IFERROR( INDEX(注音編碼對照表[方音符號], MATCH(TRUE, EXACT(G102, 注音編碼對照表[鍵盤按鍵]),0)), "")</f>
        <v>ㄊ</v>
      </c>
      <c r="H100" s="289" t="str" cm="1">
        <f t="array" aca="1" ref="H100" ca="1" xml:space="preserve"> IFERROR( INDEX(注音編碼對照表[方音符號], MATCH(TRUE, EXACT(H102, 注音編碼對照表[鍵盤按鍵]),0)), "")</f>
        <v>ㄋ</v>
      </c>
      <c r="I100" s="289" t="str" cm="1">
        <f t="array" aca="1" ref="I100" ca="1" xml:space="preserve"> IFERROR( INDEX(注音編碼對照表[方音符號], MATCH(TRUE, EXACT(I102, 注音編碼對照表[鍵盤按鍵]),0)), "")</f>
        <v>ㄌ</v>
      </c>
      <c r="J100" s="289" t="str" cm="1">
        <f t="array" aca="1" ref="J100" ca="1" xml:space="preserve"> IFERROR( INDEX(注音編碼對照表[方音符號], MATCH(TRUE, EXACT(J102, 注音編碼對照表[鍵盤按鍵]),0)), "")</f>
        <v>ㄍ</v>
      </c>
      <c r="K100" s="289" t="str" cm="1">
        <f t="array" aca="1" ref="K100" ca="1" xml:space="preserve"> IFERROR( INDEX(注音編碼對照表[方音符號], MATCH(TRUE, EXACT(K102, 注音編碼對照表[鍵盤按鍵]),0)), "")</f>
        <v>ㆣ</v>
      </c>
      <c r="L100" s="289" t="str" cm="1">
        <f t="array" aca="1" ref="L100" ca="1" xml:space="preserve"> IFERROR( INDEX(注音編碼對照表[方音符號], MATCH(TRUE, EXACT(L102, 注音編碼對照表[鍵盤按鍵]),0)), "")</f>
        <v>ㄎ</v>
      </c>
      <c r="M100" s="289" t="str" cm="1">
        <f t="array" aca="1" ref="M100" ca="1" xml:space="preserve"> IFERROR( INDEX(注音編碼對照表[方音符號], MATCH(TRUE, EXACT(M102, 注音編碼對照表[鍵盤按鍵]),0)), "")</f>
        <v/>
      </c>
      <c r="N100" s="289" t="str" cm="1">
        <f t="array" aca="1" ref="N100" ca="1" xml:space="preserve"> IFERROR( INDEX(注音編碼對照表[方音符號], MATCH(TRUE, EXACT(N102, 注音編碼對照表[鍵盤按鍵]),0)), "")</f>
        <v>ㄏ</v>
      </c>
      <c r="O100" s="289" t="str" cm="1">
        <f t="array" aca="1" ref="O100" ca="1" xml:space="preserve"> IFERROR( INDEX(注音編碼對照表[方音符號], MATCH(TRUE, EXACT(O102, 注音編碼對照表[鍵盤按鍵]),0)), "")</f>
        <v>ㄐ</v>
      </c>
      <c r="P100" s="289" t="str" cm="1">
        <f t="array" aca="1" ref="P100" ca="1" xml:space="preserve"> IFERROR( INDEX(注音編碼對照表[方音符號], MATCH(TRUE, EXACT(P102, 注音編碼對照表[鍵盤按鍵]),0)), "")</f>
        <v>ㆢ</v>
      </c>
      <c r="Q100" s="289" t="str" cm="1">
        <f t="array" aca="1" ref="Q100" ca="1" xml:space="preserve"> IFERROR( INDEX(注音編碼對照表[方音符號], MATCH(TRUE, EXACT(Q102, 注音編碼對照表[鍵盤按鍵]),0)), "")</f>
        <v>ㄑ</v>
      </c>
      <c r="R100" s="289" t="str" cm="1">
        <f t="array" aca="1" ref="R100" ca="1" xml:space="preserve"> IFERROR( INDEX(注音編碼對照表[方音符號], MATCH(TRUE, EXACT(R102, 注音編碼對照表[鍵盤按鍵]),0)), "")</f>
        <v>ㄒ</v>
      </c>
      <c r="S100" s="289" t="str" cm="1">
        <f t="array" aca="1" ref="S100" ca="1" xml:space="preserve"> IFERROR( INDEX(注音編碼對照表[方音符號], MATCH(TRUE, EXACT(S102, 注音編碼對照表[鍵盤按鍵]),0)), "")</f>
        <v>ㄗ</v>
      </c>
      <c r="T100" s="289" t="str" cm="1">
        <f t="array" aca="1" ref="T100" ca="1" xml:space="preserve"> IFERROR( INDEX(注音編碼對照表[方音符號], MATCH(TRUE, EXACT(T102, 注音編碼對照表[鍵盤按鍵]),0)), "")</f>
        <v>ㆡ</v>
      </c>
      <c r="U100" s="289" t="str" cm="1">
        <f t="array" aca="1" ref="U100" ca="1" xml:space="preserve"> IFERROR( INDEX(注音編碼對照表[方音符號], MATCH(TRUE, EXACT(U102, 注音編碼對照表[鍵盤按鍵]),0)), "")</f>
        <v>ㄘ</v>
      </c>
      <c r="V100" s="289" t="str" cm="1">
        <f t="array" aca="1" ref="V100" ca="1" xml:space="preserve"> IFERROR( INDEX(注音編碼對照表[方音符號], MATCH(TRUE, EXACT(V102, 注音編碼對照表[鍵盤按鍵]),0)), "")</f>
        <v>ㄙ</v>
      </c>
      <c r="W100" s="289" t="str" cm="1">
        <f t="array" aca="1" ref="W100" ca="1" xml:space="preserve"> IFERROR( INDEX(注音編碼對照表[方音符號], MATCH(TRUE, EXACT(W102, 注音編碼對照表[鍵盤按鍵]),0)), "")</f>
        <v>ㄧ</v>
      </c>
      <c r="X100" s="289" t="str" cm="1">
        <f t="array" aca="1" ref="X100" ca="1" xml:space="preserve"> IFERROR( INDEX(注音編碼對照表[方音符號], MATCH(TRUE, EXACT(X102, 注音編碼對照表[鍵盤按鍵]),0)), "")</f>
        <v>ㆪ</v>
      </c>
      <c r="Y100" s="289" t="str" cm="1">
        <f t="array" aca="1" ref="Y100" ca="1" xml:space="preserve"> IFERROR( INDEX(注音編碼對照表[方音符號], MATCH(TRUE, EXACT(Y102, 注音編碼對照表[鍵盤按鍵]),0)), "")</f>
        <v>ㄨ</v>
      </c>
      <c r="Z100" s="289" t="str" cm="1">
        <f t="array" aca="1" ref="Z100" ca="1" xml:space="preserve"> IFERROR( INDEX(注音編碼對照表[方音符號], MATCH(TRUE, EXACT(Z102, 注音編碼對照表[鍵盤按鍵]),0)), "")</f>
        <v>ㆫ</v>
      </c>
      <c r="AA100" s="289" t="str" cm="1">
        <f t="array" aca="1" ref="AA100" ca="1" xml:space="preserve"> IFERROR( INDEX(注音編碼對照表[方音符號], MATCH(TRUE, EXACT(AA102, 注音編碼對照表[鍵盤按鍵]),0)), "")</f>
        <v>ㄚ</v>
      </c>
      <c r="AB100" s="289" t="str" cm="1">
        <f t="array" aca="1" ref="AB100" ca="1" xml:space="preserve"> IFERROR( INDEX(注音編碼對照表[方音符號], MATCH(TRUE, EXACT(AB102, 注音編碼對照表[鍵盤按鍵]),0)), "")</f>
        <v>ㆩ</v>
      </c>
      <c r="AC100" s="289" t="str" cm="1">
        <f t="array" aca="1" ref="AC100" ca="1" xml:space="preserve"> IFERROR( INDEX(注音編碼對照表[方音符號], MATCH(TRUE, EXACT(AC102, 注音編碼對照表[鍵盤按鍵]),0)), "")</f>
        <v>ㆦ</v>
      </c>
      <c r="AD100" s="289" t="str" cm="1">
        <f t="array" aca="1" ref="AD100" ca="1" xml:space="preserve"> IFERROR( INDEX(注音編碼對照表[方音符號], MATCH(TRUE, EXACT(AD102, 注音編碼對照表[鍵盤按鍵]),0)), "")</f>
        <v>ㆧ</v>
      </c>
      <c r="AE100" s="289" t="str" cm="1">
        <f t="array" aca="1" ref="AE100" ca="1" xml:space="preserve"> IFERROR( INDEX(注音編碼對照表[方音符號], MATCH(TRUE, EXACT(AE102, 注音編碼對照表[鍵盤按鍵]),0)), "")</f>
        <v>ㄜ</v>
      </c>
      <c r="AF100" s="289" t="str" cm="1">
        <f t="array" aca="1" ref="AF100" ca="1" xml:space="preserve"> IFERROR( INDEX(注音編碼對照表[方音符號], MATCH(TRUE, EXACT(AF102, 注音編碼對照表[鍵盤按鍵]),0)), "")</f>
        <v>ㆤ</v>
      </c>
      <c r="AG100" s="289" t="str" cm="1">
        <f t="array" aca="1" ref="AG100" ca="1" xml:space="preserve"> IFERROR( INDEX(注音編碼對照表[方音符號], MATCH(TRUE, EXACT(AG102, 注音編碼對照表[鍵盤按鍵]),0)), "")</f>
        <v>ㆥ</v>
      </c>
      <c r="AH100" s="290" t="str" cm="1">
        <f t="array" aca="1" ref="AH100" ca="1" xml:space="preserve"> IFERROR( INDEX(注音編碼對照表[方音符號], MATCH(TRUE, EXACT(AH102, 注音編碼對照表[鍵盤按鍵]),0)), "")</f>
        <v>ㄞ</v>
      </c>
      <c r="AI100" s="290" t="str" cm="1">
        <f t="array" aca="1" ref="AI100" ca="1" xml:space="preserve"> IFERROR( INDEX(注音編碼對照表[方音符號], MATCH(TRUE, EXACT(AI102, 注音編碼對照表[鍵盤按鍵]),0)), "")</f>
        <v>ㆮ</v>
      </c>
      <c r="AJ100" s="290" t="str" cm="1">
        <f t="array" aca="1" ref="AJ100" ca="1" xml:space="preserve"> IFERROR( INDEX(注音編碼對照表[方音符號], MATCH(TRUE, EXACT(AJ102, 注音編碼對照表[鍵盤按鍵]),0)), "")</f>
        <v>ㄠ</v>
      </c>
      <c r="AK100" s="290" t="str" cm="1">
        <f t="array" aca="1" ref="AK100" ca="1" xml:space="preserve"> IFERROR( INDEX(注音編碼對照表[方音符號], MATCH(TRUE, EXACT(AK102, 注音編碼對照表[鍵盤按鍵]),0)), "")</f>
        <v>ㆯ</v>
      </c>
      <c r="AL100" s="291" t="str" cm="1">
        <f t="array" aca="1" ref="AL100" ca="1" xml:space="preserve"> IFERROR( INDEX(注音編碼對照表[方音符號], MATCH(TRUE, EXACT(AL102, 注音編碼對照表[鍵盤按鍵]),0)), "")</f>
        <v>ㄤ</v>
      </c>
      <c r="AM100" s="290" t="str" cm="1">
        <f t="array" aca="1" ref="AM100" ca="1" xml:space="preserve"> IFERROR( INDEX(注音編碼對照表[方音符號], MATCH(TRUE, EXACT(AM102, 注音編碼對照表[鍵盤按鍵]),0)), "")</f>
        <v>ㆲ</v>
      </c>
      <c r="AN100" s="290" t="str" cm="1">
        <f t="array" aca="1" ref="AN100" ca="1" xml:space="preserve"> IFERROR( INDEX(注音編碼對照表[方音符號], MATCH(TRUE, EXACT(AN102, 注音編碼對照表[鍵盤按鍵]),0)), "")</f>
        <v>ㆰ</v>
      </c>
      <c r="AO100" s="290" t="str" cm="1">
        <f t="array" aca="1" ref="AO100" ca="1" xml:space="preserve"> IFERROR( INDEX(注音編碼對照表[方音符號], MATCH(TRUE, EXACT(AO102, 注音編碼對照表[鍵盤按鍵]),0)), "")</f>
        <v>ㆱ</v>
      </c>
      <c r="AP100" s="290" t="str" cm="1">
        <f t="array" aca="1" ref="AP100" ca="1" xml:space="preserve"> IFERROR( INDEX(注音編碼對照表[方音符號], MATCH(TRUE, EXACT(AP102, 注音編碼對照表[鍵盤按鍵]),0)), "")</f>
        <v>ㄢ</v>
      </c>
      <c r="AQ100" s="290" t="str" cm="1">
        <f t="array" aca="1" ref="AQ100" ca="1" xml:space="preserve"> IFERROR( INDEX(注音編碼對照表[方音符號], MATCH(TRUE, EXACT(AQ102, 注音編碼對照表[鍵盤按鍵]),0)), "")</f>
        <v>ㆬ</v>
      </c>
      <c r="AR100" s="290" t="str" cm="1">
        <f t="array" aca="1" ref="AR100" ca="1" xml:space="preserve"> IFERROR( INDEX(注音編碼對照表[方音符號], MATCH(TRUE, EXACT(AR102, 注音編碼對照表[鍵盤按鍵]),0)), "")</f>
        <v>ㄣ</v>
      </c>
      <c r="AS100" s="290" t="str" cm="1">
        <f t="array" aca="1" ref="AS100" ca="1" xml:space="preserve"> IFERROR( INDEX(注音編碼對照表[方音符號], MATCH(TRUE, EXACT(AS102, 注音編碼對照表[鍵盤按鍵]),0)), "")</f>
        <v>ㆭ</v>
      </c>
      <c r="AT100" s="290" t="str" cm="1">
        <f t="array" aca="1" ref="AT100" ca="1" xml:space="preserve"> IFERROR( INDEX(注音編碼對照表[方音符號], MATCH(TRUE, EXACT(AT102, 注音編碼對照表[鍵盤按鍵]),0)), "")</f>
        <v>ㆨ</v>
      </c>
      <c r="AU100" s="290" t="str" cm="1">
        <f t="array" aca="1" ref="AU100" ca="1" xml:space="preserve"> IFERROR( INDEX(注音編碼對照表[方音符號], MATCH(TRUE, EXACT(AU102, 注音編碼對照表[鍵盤按鍵]),0)), "")</f>
        <v>ㆢ</v>
      </c>
      <c r="AV100" s="290" t="str" cm="1">
        <f t="array" aca="1" ref="AV100" ca="1" xml:space="preserve"> IFERROR( INDEX(注音編碼對照表[方音符號], MATCH(TRUE, EXACT(AV102, 注音編碼對照表[鍵盤按鍵]),0)), "")</f>
        <v/>
      </c>
      <c r="AW100" s="290" t="str" cm="1">
        <f t="array" aca="1" ref="AW100" ca="1" xml:space="preserve"> IFERROR( INDEX(注音編碼對照表[方音符號], MATCH(TRUE, EXACT(AW102, 注音編碼對照表[鍵盤按鍵]),0)), "")</f>
        <v/>
      </c>
      <c r="AX100" s="290" t="str" cm="1">
        <f t="array" aca="1" ref="AX100" ca="1" xml:space="preserve"> IFERROR( INDEX(注音編碼對照表[方音符號], MATCH(TRUE, EXACT(AX102, 注音編碼對照表[鍵盤按鍵]),0)), "")</f>
        <v/>
      </c>
      <c r="AY100" s="290" t="str" cm="1">
        <f t="array" aca="1" ref="AY100" ca="1" xml:space="preserve"> IFERROR( INDEX(注音編碼對照表[方音符號], MATCH(TRUE, EXACT(AY102, 注音編碼對照表[鍵盤按鍵]),0)), "")</f>
        <v/>
      </c>
      <c r="AZ100" s="290" t="str" cm="1">
        <f t="array" aca="1" ref="AZ100" ca="1" xml:space="preserve"> IFERROR( INDEX(注音編碼對照表[方音符號], MATCH(TRUE, EXACT(AZ102, 注音編碼對照表[鍵盤按鍵]),0)), "")</f>
        <v/>
      </c>
      <c r="BA100" s="290" t="str" cm="1">
        <f t="array" aca="1" ref="BA100" ca="1" xml:space="preserve"> IFERROR( INDEX(注音編碼對照表[方音符號], MATCH(TRUE, EXACT(BA102, 注音編碼對照表[鍵盤按鍵]),0)), "")</f>
        <v/>
      </c>
      <c r="BB100" s="290" t="str" cm="1">
        <f t="array" aca="1" ref="BB100" ca="1" xml:space="preserve"> IFERROR( INDEX(注音編碼對照表[方音符號], MATCH(TRUE, EXACT(BB102, 注音編碼對照表[鍵盤按鍵]),0)), "")</f>
        <v/>
      </c>
      <c r="BC100" s="290" t="str" cm="1">
        <f t="array" aca="1" ref="BC100" ca="1" xml:space="preserve"> IFERROR( INDEX(注音編碼對照表[方音符號], MATCH(TRUE, EXACT(BC102, 注音編碼對照表[鍵盤按鍵]),0)), "")</f>
        <v/>
      </c>
      <c r="BD100" s="290" t="str" cm="1">
        <f t="array" aca="1" ref="BD100" ca="1" xml:space="preserve"> IFERROR( INDEX(注音編碼對照表[方音符號], MATCH(TRUE, EXACT(BD102, 注音編碼對照表[鍵盤按鍵]),0)), "")</f>
        <v/>
      </c>
      <c r="BE100" s="290" t="str" cm="1">
        <f t="array" aca="1" ref="BE100" ca="1" xml:space="preserve"> IFERROR( INDEX(注音編碼對照表[方音符號], MATCH(TRUE, EXACT(BE102, 注音編碼對照表[鍵盤按鍵]),0)), "")</f>
        <v/>
      </c>
      <c r="BF100" s="290" t="str" cm="1">
        <f t="array" aca="1" ref="BF100" ca="1" xml:space="preserve"> IFERROR( INDEX(注音編碼對照表[方音符號], MATCH(TRUE, EXACT(BF102, 注音編碼對照表[鍵盤按鍵]),0)), "")</f>
        <v/>
      </c>
      <c r="BG100" s="290" t="str" cm="1">
        <f t="array" aca="1" ref="BG100" ca="1" xml:space="preserve"> IFERROR( INDEX(注音編碼對照表[方音符號], MATCH(TRUE, EXACT(BG102, 注音編碼對照表[鍵盤按鍵]),0)), "")</f>
        <v/>
      </c>
      <c r="BH100" s="290" t="str" cm="1">
        <f t="array" aca="1" ref="BH100" ca="1" xml:space="preserve"> IFERROR( INDEX(注音編碼對照表[方音符號], MATCH(TRUE, EXACT(BH102, 注音編碼對照表[鍵盤按鍵]),0)), "")</f>
        <v/>
      </c>
      <c r="BI100" s="290" t="str" cm="1">
        <f t="array" aca="1" ref="BI100" ca="1" xml:space="preserve"> IFERROR( INDEX(注音編碼對照表[方音符號], MATCH(TRUE, EXACT(BI102, 注音編碼對照表[鍵盤按鍵]),0)), "")</f>
        <v/>
      </c>
    </row>
    <row r="101" spans="2:61">
      <c r="B101" s="82"/>
    </row>
    <row r="102" spans="2:61" ht="39">
      <c r="B102" s="292" t="str" cm="1">
        <f t="array" aca="1" ref="B102" ca="1" xml:space="preserve"> INDIRECT( ADDRESS(ROW()-4, COLUMN()) )</f>
        <v>1</v>
      </c>
      <c r="C102" s="292" t="str" cm="1">
        <f t="array" aca="1" ref="C102" ca="1" xml:space="preserve"> INDIRECT( ADDRESS(ROW()-4, COLUMN()) )</f>
        <v>!</v>
      </c>
      <c r="D102" s="292" t="str" cm="1">
        <f t="array" aca="1" ref="D102" ca="1" xml:space="preserve"> INDIRECT( ADDRESS(ROW()-4, COLUMN()) )</f>
        <v>q</v>
      </c>
      <c r="E102" s="292" t="str" cm="1">
        <f t="array" aca="1" ref="E102" ca="1" xml:space="preserve"> INDIRECT( ADDRESS(ROW()-4, COLUMN()) )</f>
        <v>a</v>
      </c>
      <c r="F102" s="292" t="str" cm="1">
        <f t="array" aca="1" ref="F102" ca="1" xml:space="preserve"> INDIRECT( ADDRESS(ROW()-4, COLUMN()) )</f>
        <v>2</v>
      </c>
      <c r="G102" s="292" t="str" cm="1">
        <f t="array" aca="1" ref="G102" ca="1" xml:space="preserve"> INDIRECT( ADDRESS(ROW()-4, COLUMN()) )</f>
        <v>w</v>
      </c>
      <c r="H102" s="292" t="str" cm="1">
        <f t="array" aca="1" ref="H102" ca="1" xml:space="preserve"> INDIRECT( ADDRESS(ROW()-4, COLUMN()) )</f>
        <v>s</v>
      </c>
      <c r="I102" s="292" t="str" cm="1">
        <f t="array" aca="1" ref="I102" ca="1" xml:space="preserve"> INDIRECT( ADDRESS(ROW()-4, COLUMN()) )</f>
        <v>x</v>
      </c>
      <c r="J102" s="292" t="str" cm="1">
        <f t="array" aca="1" ref="J102" ca="1" xml:space="preserve"> INDIRECT( ADDRESS(ROW()-4, COLUMN()) )</f>
        <v>e</v>
      </c>
      <c r="K102" s="292" t="str" cm="1">
        <f t="array" aca="1" ref="K102" ca="1" xml:space="preserve"> INDIRECT( ADDRESS(ROW()-4, COLUMN()) )</f>
        <v>E</v>
      </c>
      <c r="L102" s="292" t="str" cm="1">
        <f t="array" aca="1" ref="L102" ca="1" xml:space="preserve"> INDIRECT( ADDRESS(ROW()-4, COLUMN()) )</f>
        <v>d</v>
      </c>
      <c r="M102" s="292" t="str" cm="1">
        <f t="array" aca="1" ref="M102" ca="1" xml:space="preserve"> INDIRECT( ADDRESS(ROW()-4, COLUMN()) )</f>
        <v>G</v>
      </c>
      <c r="N102" s="292" t="str" cm="1">
        <f t="array" aca="1" ref="N102" ca="1" xml:space="preserve"> INDIRECT( ADDRESS(ROW()-4, COLUMN()) )</f>
        <v>c</v>
      </c>
      <c r="O102" s="292" t="str" cm="1">
        <f t="array" aca="1" ref="O102" ca="1" xml:space="preserve"> INDIRECT( ADDRESS(ROW()-4, COLUMN()) )</f>
        <v>r</v>
      </c>
      <c r="P102" s="292" t="str" cm="1">
        <f t="array" aca="1" ref="P102" ca="1" xml:space="preserve"> INDIRECT( ADDRESS(ROW()-4, COLUMN()) )</f>
        <v>R</v>
      </c>
      <c r="Q102" s="292" t="str" cm="1">
        <f t="array" aca="1" ref="Q102" ca="1" xml:space="preserve"> INDIRECT( ADDRESS(ROW()-4, COLUMN()) )</f>
        <v>f</v>
      </c>
      <c r="R102" s="292" t="str" cm="1">
        <f t="array" aca="1" ref="R102" ca="1" xml:space="preserve"> INDIRECT( ADDRESS(ROW()-4, COLUMN()) )</f>
        <v>v</v>
      </c>
      <c r="S102" s="292" t="str" cm="1">
        <f t="array" aca="1" ref="S102" ca="1" xml:space="preserve"> INDIRECT( ADDRESS(ROW()-4, COLUMN()) )</f>
        <v>y</v>
      </c>
      <c r="T102" s="292" t="str" cm="1">
        <f t="array" aca="1" ref="T102" ca="1" xml:space="preserve"> INDIRECT( ADDRESS(ROW()-4, COLUMN()) )</f>
        <v>Y</v>
      </c>
      <c r="U102" s="292" t="str" cm="1">
        <f t="array" aca="1" ref="U102" ca="1" xml:space="preserve"> INDIRECT( ADDRESS(ROW()-4, COLUMN()) )</f>
        <v>h</v>
      </c>
      <c r="V102" s="292" t="str" cm="1">
        <f t="array" aca="1" ref="V102" ca="1" xml:space="preserve"> INDIRECT( ADDRESS(ROW()-4, COLUMN()) )</f>
        <v>n</v>
      </c>
      <c r="W102" s="292" t="str" cm="1">
        <f t="array" aca="1" ref="W102" ca="1" xml:space="preserve"> INDIRECT( ADDRESS(ROW()-4, COLUMN()) )</f>
        <v>u</v>
      </c>
      <c r="X102" s="292" t="str" cm="1">
        <f t="array" aca="1" ref="X102" ca="1" xml:space="preserve"> INDIRECT( ADDRESS(ROW()-4, COLUMN()) )</f>
        <v>U</v>
      </c>
      <c r="Y102" s="292" t="str" cm="1">
        <f t="array" aca="1" ref="Y102" ca="1" xml:space="preserve"> INDIRECT( ADDRESS(ROW()-4, COLUMN()) )</f>
        <v>j</v>
      </c>
      <c r="Z102" s="292" t="str" cm="1">
        <f t="array" aca="1" ref="Z102" ca="1" xml:space="preserve"> INDIRECT( ADDRESS(ROW()-4, COLUMN()) )</f>
        <v>J</v>
      </c>
      <c r="AA102" s="292" t="str" cm="1">
        <f t="array" aca="1" ref="AA102" ca="1" xml:space="preserve"> INDIRECT( ADDRESS(ROW()-4, COLUMN()) )</f>
        <v>8</v>
      </c>
      <c r="AB102" s="292" t="str" cm="1">
        <f t="array" aca="1" ref="AB102" ca="1" xml:space="preserve"> INDIRECT( ADDRESS(ROW()-4, COLUMN()) )</f>
        <v>*</v>
      </c>
      <c r="AC102" s="292" t="str" cm="1">
        <f t="array" aca="1" ref="AC102" ca="1" xml:space="preserve"> INDIRECT( ADDRESS(ROW()-4, COLUMN()) )</f>
        <v>i</v>
      </c>
      <c r="AD102" s="292" t="str" cm="1">
        <f t="array" aca="1" ref="AD102" ca="1" xml:space="preserve"> INDIRECT( ADDRESS(ROW()-4, COLUMN()) )</f>
        <v>I</v>
      </c>
      <c r="AE102" s="292" t="str" cm="1">
        <f t="array" aca="1" ref="AE102" ca="1" xml:space="preserve"> INDIRECT( ADDRESS(ROW()-4, COLUMN()) )</f>
        <v>k</v>
      </c>
      <c r="AF102" s="292" t="str" cm="1">
        <f t="array" aca="1" ref="AF102" ca="1" xml:space="preserve"> INDIRECT( ADDRESS(ROW()-4, COLUMN()) )</f>
        <v>,</v>
      </c>
      <c r="AG102" s="292" t="str" cm="1">
        <f t="array" aca="1" ref="AG102" ca="1" xml:space="preserve"> INDIRECT( ADDRESS(ROW()-4, COLUMN()) )</f>
        <v>&lt;</v>
      </c>
      <c r="AH102" s="292" t="str" cm="1">
        <f t="array" aca="1" ref="AH102" ca="1" xml:space="preserve"> INDIRECT( ADDRESS(ROW()-4, COLUMN()) )</f>
        <v>9</v>
      </c>
      <c r="AI102" s="292" t="str" cm="1">
        <f t="array" aca="1" ref="AI102" ca="1" xml:space="preserve"> INDIRECT( ADDRESS(ROW()-4, COLUMN()) )</f>
        <v>(</v>
      </c>
      <c r="AJ102" s="292" t="str" cm="1">
        <f t="array" aca="1" ref="AJ102" ca="1" xml:space="preserve"> INDIRECT( ADDRESS(ROW()-4, COLUMN()) )</f>
        <v>l</v>
      </c>
      <c r="AK102" s="292" t="str" cm="1">
        <f t="array" aca="1" ref="AK102" ca="1" xml:space="preserve"> INDIRECT( ADDRESS(ROW()-4, COLUMN()) )</f>
        <v>L</v>
      </c>
      <c r="AL102" s="292" t="str" cm="1">
        <f t="array" aca="1" ref="AL102" ca="1" xml:space="preserve"> INDIRECT( ADDRESS(ROW()-4, COLUMN()) )</f>
        <v>;</v>
      </c>
      <c r="AM102" s="292" t="str" cm="1">
        <f t="array" aca="1" ref="AM102" ca="1" xml:space="preserve"> INDIRECT( ADDRESS(ROW()-4, COLUMN()) )</f>
        <v>o</v>
      </c>
      <c r="AN102" s="292" t="str" cm="1">
        <f t="array" aca="1" ref="AN102" ca="1" xml:space="preserve"> INDIRECT( ADDRESS(ROW()-4, COLUMN()) )</f>
        <v>M</v>
      </c>
      <c r="AO102" s="292" t="str" cm="1">
        <f t="array" aca="1" ref="AO102" ca="1" xml:space="preserve"> INDIRECT( ADDRESS(ROW()-4, COLUMN()) )</f>
        <v>O</v>
      </c>
      <c r="AP102" s="292" t="str" cm="1">
        <f t="array" aca="1" ref="AP102" ca="1" xml:space="preserve"> INDIRECT( ADDRESS(ROW()-4, COLUMN()) )</f>
        <v>0</v>
      </c>
      <c r="AQ102" s="292" t="str" cm="1">
        <f t="array" aca="1" ref="AQ102" ca="1" xml:space="preserve"> INDIRECT( ADDRESS(ROW()-4, COLUMN()) )</f>
        <v>m</v>
      </c>
      <c r="AR102" s="292" t="str" cm="1">
        <f t="array" aca="1" ref="AR102" ca="1" xml:space="preserve"> INDIRECT( ADDRESS(ROW()-4, COLUMN()) )</f>
        <v>p</v>
      </c>
      <c r="AS102" s="292" t="str" cm="1">
        <f t="array" aca="1" ref="AS102" ca="1" xml:space="preserve"> INDIRECT( ADDRESS(ROW()-4, COLUMN()) )</f>
        <v>/</v>
      </c>
      <c r="AT102" s="292" t="str" cm="1">
        <f t="array" aca="1" ref="AT102" ca="1" xml:space="preserve"> INDIRECT( ADDRESS(ROW()-4, COLUMN()) )</f>
        <v>K</v>
      </c>
      <c r="AU102" s="292" t="str" cm="1">
        <f t="array" aca="1" ref="AU102" ca="1" xml:space="preserve"> INDIRECT( ADDRESS(ROW()-4, COLUMN()) )</f>
        <v>R</v>
      </c>
      <c r="AV102" s="292" t="str" cm="1">
        <f t="array" aca="1" ref="AV102" ca="1" xml:space="preserve"> INDIRECT( ADDRESS(ROW()-4, COLUMN()) )</f>
        <v>F</v>
      </c>
      <c r="AW102" s="292" t="str" cm="1">
        <f t="array" aca="1" ref="AW102" ca="1" xml:space="preserve"> INDIRECT( ADDRESS(ROW()-4, COLUMN()) )</f>
        <v>Q</v>
      </c>
      <c r="AX102" s="292" t="str" cm="1">
        <f t="array" aca="1" ref="AX102" ca="1" xml:space="preserve"> INDIRECT( ADDRESS(ROW()-4, COLUMN()) )</f>
        <v>V</v>
      </c>
      <c r="AY102" s="292" t="str" cm="1">
        <f t="array" aca="1" ref="AY102" ca="1" xml:space="preserve"> INDIRECT( ADDRESS(ROW()-4, COLUMN()) )</f>
        <v/>
      </c>
      <c r="AZ102" s="292" t="str" cm="1">
        <f t="array" aca="1" ref="AZ102" ca="1" xml:space="preserve"> INDIRECT( ADDRESS(ROW()-4, COLUMN()) )</f>
        <v/>
      </c>
      <c r="BA102" s="292" t="str" cm="1">
        <f t="array" aca="1" ref="BA102" ca="1" xml:space="preserve"> INDIRECT( ADDRESS(ROW()-4, COLUMN()) )</f>
        <v/>
      </c>
      <c r="BB102" s="292" t="str" cm="1">
        <f t="array" aca="1" ref="BB102" ca="1" xml:space="preserve"> INDIRECT( ADDRESS(ROW()-4, COLUMN()) )</f>
        <v/>
      </c>
      <c r="BC102" s="292" t="str" cm="1">
        <f t="array" aca="1" ref="BC102" ca="1" xml:space="preserve"> INDIRECT( ADDRESS(ROW()-4, COLUMN()) )</f>
        <v/>
      </c>
      <c r="BD102" s="292" t="str" cm="1">
        <f t="array" aca="1" ref="BD102" ca="1" xml:space="preserve"> INDIRECT( ADDRESS(ROW()-4, COLUMN()) )</f>
        <v/>
      </c>
      <c r="BE102" s="292" t="str" cm="1">
        <f t="array" aca="1" ref="BE102" ca="1" xml:space="preserve"> INDIRECT( ADDRESS(ROW()-4, COLUMN()) )</f>
        <v/>
      </c>
      <c r="BF102" s="292" t="str" cm="1">
        <f t="array" aca="1" ref="BF102" ca="1" xml:space="preserve"> INDIRECT( ADDRESS(ROW()-4, COLUMN()) )</f>
        <v/>
      </c>
      <c r="BG102" s="292" t="str" cm="1">
        <f t="array" aca="1" ref="BG102" ca="1" xml:space="preserve"> INDIRECT( ADDRESS(ROW()-4, COLUMN()) )</f>
        <v/>
      </c>
      <c r="BH102" s="292" t="str" cm="1">
        <f t="array" aca="1" ref="BH102" ca="1" xml:space="preserve"> INDIRECT( ADDRESS(ROW()-4, COLUMN()) )</f>
        <v/>
      </c>
      <c r="BI102" s="292" t="str" cm="1">
        <f t="array" aca="1" ref="BI102" ca="1" xml:space="preserve"> INDIRECT( ADDRESS(ROW()-4, COLUMN()) )</f>
        <v/>
      </c>
    </row>
    <row r="104" spans="2:61" ht="39">
      <c r="B104" s="294" t="str">
        <f ca="1">_xlfn.CONCAT(B98:AX98)</f>
        <v>1!qa2wsxeEdGcrRfvyYhnuUjJ8*iIk,&lt;9(lL;oMO0mp/KRFQV</v>
      </c>
    </row>
    <row r="105" spans="2:61" ht="39">
      <c r="B105" s="294" t="str">
        <f ca="1">_xlfn.CONCAT(B99:AX99)</f>
        <v>ㄅㆠㄆㄇㄉㄊㄋㄌㄍㆣㄎㄫㄏㄐㆢㄑㄒㄗㆡㄘㄙㄧㆪㄨㆫㄚㆩㆦㆧㄜㆤㆥㄞㆮㄠㆯㄤㆲㆰㆱㄢㆬㄣㆭㆨㆴㆵㆻㆷ</v>
      </c>
    </row>
    <row r="108" spans="2:61" ht="39">
      <c r="B108" s="293" t="str">
        <f ca="1" xml:space="preserve"> _xlfn.CONCAT("    - xlit|", B102:AX102, "|", B99:AX99,"|")</f>
        <v xml:space="preserve">    - xlit|1!qa2wsxeEdGcrRfvyYhnuUjJ8*iIk,&lt;9(lL;oMO0mp/KRFQV|ㄅㆠㄆㄇㄉㄊㄋㄌㄍㆣㄎㄫㄏㄐㆢㄑㄒㄗㆡㄘㄙㄧㆪㄨㆫㄚㆩㆦㆧㄜㆤㆥㄞㆮㄠㆯㄤㆲㆰㆱㄢㆬㄣㆭㆨㆴㆵㆻㆷ|</v>
      </c>
    </row>
  </sheetData>
  <sortState xmlns:xlrd2="http://schemas.microsoft.com/office/spreadsheetml/2017/richdata2" ref="BY5:CD27">
    <sortCondition descending="1" ref="CD5:CD27"/>
  </sortState>
  <phoneticPr fontId="7" type="noConversion"/>
  <conditionalFormatting sqref="B22:AA22">
    <cfRule type="expression" dxfId="10" priority="2">
      <formula xml:space="preserve"> NOT( ISNUMBER(B23))</formula>
    </cfRule>
  </conditionalFormatting>
  <conditionalFormatting sqref="B23:AA23">
    <cfRule type="expression" dxfId="9" priority="4">
      <formula>NOT(ISNUMBER(B23))</formula>
    </cfRule>
  </conditionalFormatting>
  <conditionalFormatting sqref="AL22:BK22">
    <cfRule type="expression" dxfId="8" priority="1">
      <formula xml:space="preserve"> NOT( ISNUMBER(AL23))</formula>
    </cfRule>
  </conditionalFormatting>
  <conditionalFormatting sqref="AL23:BK23">
    <cfRule type="expression" dxfId="7" priority="3">
      <formula>NOT(ISNUMBER(AL23))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90FE-75D4-451A-9080-84A875C96930}">
  <dimension ref="A1:AH27"/>
  <sheetViews>
    <sheetView workbookViewId="0"/>
  </sheetViews>
  <sheetFormatPr defaultColWidth="4.296875" defaultRowHeight="25.5"/>
  <cols>
    <col min="1" max="3" width="4.3984375" style="334" bestFit="1" customWidth="1"/>
    <col min="4" max="26" width="5" style="334" bestFit="1" customWidth="1"/>
    <col min="27" max="29" width="4.296875" style="334"/>
    <col min="30" max="30" width="8.3984375" style="334" customWidth="1"/>
    <col min="31" max="16384" width="4.296875" style="334"/>
  </cols>
  <sheetData>
    <row r="1" spans="1:34">
      <c r="A1" s="333">
        <v>97</v>
      </c>
      <c r="B1" s="333">
        <f>A1+1</f>
        <v>98</v>
      </c>
      <c r="C1" s="333">
        <f t="shared" ref="C1:R2" si="0">B1+1</f>
        <v>99</v>
      </c>
      <c r="D1" s="333">
        <f t="shared" si="0"/>
        <v>100</v>
      </c>
      <c r="E1" s="333">
        <f t="shared" si="0"/>
        <v>101</v>
      </c>
      <c r="F1" s="333">
        <f t="shared" si="0"/>
        <v>102</v>
      </c>
      <c r="G1" s="333">
        <f t="shared" si="0"/>
        <v>103</v>
      </c>
      <c r="H1" s="333">
        <f t="shared" si="0"/>
        <v>104</v>
      </c>
      <c r="I1" s="333">
        <f t="shared" si="0"/>
        <v>105</v>
      </c>
      <c r="J1" s="333">
        <f t="shared" si="0"/>
        <v>106</v>
      </c>
      <c r="K1" s="333">
        <f t="shared" si="0"/>
        <v>107</v>
      </c>
      <c r="L1" s="333">
        <f t="shared" si="0"/>
        <v>108</v>
      </c>
      <c r="M1" s="333">
        <f t="shared" si="0"/>
        <v>109</v>
      </c>
      <c r="N1" s="333">
        <f t="shared" si="0"/>
        <v>110</v>
      </c>
      <c r="O1" s="333">
        <f t="shared" si="0"/>
        <v>111</v>
      </c>
      <c r="P1" s="333">
        <f t="shared" si="0"/>
        <v>112</v>
      </c>
      <c r="Q1" s="333">
        <f t="shared" si="0"/>
        <v>113</v>
      </c>
      <c r="R1" s="333">
        <f t="shared" si="0"/>
        <v>114</v>
      </c>
      <c r="S1" s="333">
        <f t="shared" ref="S1:Z2" si="1">R1+1</f>
        <v>115</v>
      </c>
      <c r="T1" s="333">
        <f t="shared" si="1"/>
        <v>116</v>
      </c>
      <c r="U1" s="333">
        <f t="shared" si="1"/>
        <v>117</v>
      </c>
      <c r="V1" s="333">
        <f t="shared" si="1"/>
        <v>118</v>
      </c>
      <c r="W1" s="333">
        <f t="shared" si="1"/>
        <v>119</v>
      </c>
      <c r="X1" s="333">
        <f t="shared" si="1"/>
        <v>120</v>
      </c>
      <c r="Y1" s="333">
        <f t="shared" si="1"/>
        <v>121</v>
      </c>
      <c r="Z1" s="333">
        <f t="shared" si="1"/>
        <v>122</v>
      </c>
      <c r="AC1" s="334" t="s">
        <v>39</v>
      </c>
      <c r="AD1" s="334" t="s">
        <v>39</v>
      </c>
      <c r="AG1" s="334" t="s">
        <v>201</v>
      </c>
      <c r="AH1" s="334" t="s">
        <v>307</v>
      </c>
    </row>
    <row r="2" spans="1:34">
      <c r="A2" s="333">
        <v>65</v>
      </c>
      <c r="B2" s="333">
        <f>A2+1</f>
        <v>66</v>
      </c>
      <c r="C2" s="333">
        <f t="shared" si="0"/>
        <v>67</v>
      </c>
      <c r="D2" s="333">
        <f t="shared" si="0"/>
        <v>68</v>
      </c>
      <c r="E2" s="333">
        <f t="shared" si="0"/>
        <v>69</v>
      </c>
      <c r="F2" s="333">
        <f t="shared" si="0"/>
        <v>70</v>
      </c>
      <c r="G2" s="333">
        <f t="shared" si="0"/>
        <v>71</v>
      </c>
      <c r="H2" s="333">
        <f t="shared" si="0"/>
        <v>72</v>
      </c>
      <c r="I2" s="333">
        <f t="shared" si="0"/>
        <v>73</v>
      </c>
      <c r="J2" s="333">
        <f t="shared" si="0"/>
        <v>74</v>
      </c>
      <c r="K2" s="333">
        <f t="shared" si="0"/>
        <v>75</v>
      </c>
      <c r="L2" s="333">
        <f t="shared" si="0"/>
        <v>76</v>
      </c>
      <c r="M2" s="333">
        <f t="shared" si="0"/>
        <v>77</v>
      </c>
      <c r="N2" s="333">
        <f t="shared" si="0"/>
        <v>78</v>
      </c>
      <c r="O2" s="333">
        <f t="shared" si="0"/>
        <v>79</v>
      </c>
      <c r="P2" s="333">
        <f t="shared" si="0"/>
        <v>80</v>
      </c>
      <c r="Q2" s="333">
        <f t="shared" si="0"/>
        <v>81</v>
      </c>
      <c r="R2" s="333">
        <f t="shared" si="0"/>
        <v>82</v>
      </c>
      <c r="S2" s="333">
        <f t="shared" si="1"/>
        <v>83</v>
      </c>
      <c r="T2" s="333">
        <f t="shared" si="1"/>
        <v>84</v>
      </c>
      <c r="U2" s="333">
        <f t="shared" si="1"/>
        <v>85</v>
      </c>
      <c r="V2" s="333">
        <f t="shared" si="1"/>
        <v>86</v>
      </c>
      <c r="W2" s="333">
        <f t="shared" si="1"/>
        <v>87</v>
      </c>
      <c r="X2" s="333">
        <f t="shared" si="1"/>
        <v>88</v>
      </c>
      <c r="Y2" s="333">
        <f t="shared" si="1"/>
        <v>89</v>
      </c>
      <c r="Z2" s="333">
        <f t="shared" si="1"/>
        <v>90</v>
      </c>
      <c r="AC2" s="334" t="s">
        <v>198</v>
      </c>
      <c r="AD2" s="334" t="s">
        <v>145</v>
      </c>
      <c r="AG2" s="334" t="s">
        <v>202</v>
      </c>
      <c r="AH2" s="335" t="s">
        <v>51</v>
      </c>
    </row>
    <row r="3" spans="1:34">
      <c r="AC3" s="334" t="s">
        <v>35</v>
      </c>
      <c r="AD3" s="334" t="s">
        <v>35</v>
      </c>
      <c r="AG3" s="334" t="s">
        <v>11</v>
      </c>
      <c r="AH3" s="335" t="s">
        <v>53</v>
      </c>
    </row>
    <row r="4" spans="1:34">
      <c r="A4" s="333" t="str">
        <f t="shared" ref="A4:Z5" si="2" xml:space="preserve"> CHAR(A1)</f>
        <v>a</v>
      </c>
      <c r="B4" s="333" t="str">
        <f t="shared" si="2"/>
        <v>b</v>
      </c>
      <c r="C4" s="333" t="str">
        <f t="shared" si="2"/>
        <v>c</v>
      </c>
      <c r="D4" s="333" t="str">
        <f t="shared" si="2"/>
        <v>d</v>
      </c>
      <c r="E4" s="333" t="str">
        <f t="shared" si="2"/>
        <v>e</v>
      </c>
      <c r="F4" s="333" t="str">
        <f t="shared" si="2"/>
        <v>f</v>
      </c>
      <c r="G4" s="333" t="str">
        <f t="shared" si="2"/>
        <v>g</v>
      </c>
      <c r="H4" s="333" t="str">
        <f t="shared" si="2"/>
        <v>h</v>
      </c>
      <c r="I4" s="333" t="str">
        <f t="shared" si="2"/>
        <v>i</v>
      </c>
      <c r="J4" s="333" t="str">
        <f t="shared" si="2"/>
        <v>j</v>
      </c>
      <c r="K4" s="333" t="str">
        <f t="shared" si="2"/>
        <v>k</v>
      </c>
      <c r="L4" s="333" t="str">
        <f t="shared" si="2"/>
        <v>l</v>
      </c>
      <c r="M4" s="333" t="str">
        <f t="shared" si="2"/>
        <v>m</v>
      </c>
      <c r="N4" s="333" t="str">
        <f t="shared" si="2"/>
        <v>n</v>
      </c>
      <c r="O4" s="333" t="str">
        <f t="shared" si="2"/>
        <v>o</v>
      </c>
      <c r="P4" s="333" t="str">
        <f t="shared" si="2"/>
        <v>p</v>
      </c>
      <c r="Q4" s="333" t="str">
        <f t="shared" si="2"/>
        <v>q</v>
      </c>
      <c r="R4" s="333" t="str">
        <f t="shared" si="2"/>
        <v>r</v>
      </c>
      <c r="S4" s="333" t="str">
        <f t="shared" si="2"/>
        <v>s</v>
      </c>
      <c r="T4" s="333" t="str">
        <f t="shared" si="2"/>
        <v>t</v>
      </c>
      <c r="U4" s="333" t="str">
        <f t="shared" si="2"/>
        <v>u</v>
      </c>
      <c r="V4" s="333" t="str">
        <f t="shared" si="2"/>
        <v>v</v>
      </c>
      <c r="W4" s="333" t="str">
        <f t="shared" si="2"/>
        <v>w</v>
      </c>
      <c r="X4" s="333" t="str">
        <f t="shared" si="2"/>
        <v>x</v>
      </c>
      <c r="Y4" s="333" t="str">
        <f t="shared" si="2"/>
        <v>y</v>
      </c>
      <c r="Z4" s="333" t="str">
        <f t="shared" si="2"/>
        <v>z</v>
      </c>
      <c r="AC4" s="334" t="s">
        <v>126</v>
      </c>
      <c r="AD4" s="334" t="s">
        <v>133</v>
      </c>
      <c r="AG4" s="334" t="s">
        <v>234</v>
      </c>
      <c r="AH4" s="335" t="s">
        <v>54</v>
      </c>
    </row>
    <row r="5" spans="1:34">
      <c r="A5" s="333" t="str">
        <f t="shared" si="2"/>
        <v>A</v>
      </c>
      <c r="B5" s="333" t="str">
        <f t="shared" si="2"/>
        <v>B</v>
      </c>
      <c r="C5" s="333" t="str">
        <f t="shared" si="2"/>
        <v>C</v>
      </c>
      <c r="D5" s="333" t="str">
        <f t="shared" si="2"/>
        <v>D</v>
      </c>
      <c r="E5" s="333" t="str">
        <f t="shared" si="2"/>
        <v>E</v>
      </c>
      <c r="F5" s="333" t="str">
        <f t="shared" si="2"/>
        <v>F</v>
      </c>
      <c r="G5" s="333" t="str">
        <f t="shared" si="2"/>
        <v>G</v>
      </c>
      <c r="H5" s="333" t="str">
        <f t="shared" si="2"/>
        <v>H</v>
      </c>
      <c r="I5" s="333" t="str">
        <f t="shared" si="2"/>
        <v>I</v>
      </c>
      <c r="J5" s="333" t="str">
        <f t="shared" si="2"/>
        <v>J</v>
      </c>
      <c r="K5" s="333" t="str">
        <f t="shared" si="2"/>
        <v>K</v>
      </c>
      <c r="L5" s="333" t="str">
        <f t="shared" si="2"/>
        <v>L</v>
      </c>
      <c r="M5" s="333" t="str">
        <f t="shared" si="2"/>
        <v>M</v>
      </c>
      <c r="N5" s="333" t="str">
        <f t="shared" si="2"/>
        <v>N</v>
      </c>
      <c r="O5" s="333" t="str">
        <f t="shared" si="2"/>
        <v>O</v>
      </c>
      <c r="P5" s="333" t="str">
        <f t="shared" si="2"/>
        <v>P</v>
      </c>
      <c r="Q5" s="333" t="str">
        <f t="shared" si="2"/>
        <v>Q</v>
      </c>
      <c r="R5" s="333" t="str">
        <f t="shared" si="2"/>
        <v>R</v>
      </c>
      <c r="S5" s="333" t="str">
        <f t="shared" si="2"/>
        <v>S</v>
      </c>
      <c r="T5" s="333" t="str">
        <f t="shared" si="2"/>
        <v>T</v>
      </c>
      <c r="U5" s="333" t="str">
        <f t="shared" si="2"/>
        <v>U</v>
      </c>
      <c r="V5" s="333" t="str">
        <f t="shared" si="2"/>
        <v>V</v>
      </c>
      <c r="W5" s="333" t="str">
        <f t="shared" si="2"/>
        <v>W</v>
      </c>
      <c r="X5" s="333" t="str">
        <f t="shared" si="2"/>
        <v>X</v>
      </c>
      <c r="Y5" s="333" t="str">
        <f t="shared" si="2"/>
        <v>Y</v>
      </c>
      <c r="Z5" s="333" t="str">
        <f t="shared" si="2"/>
        <v>Z</v>
      </c>
      <c r="AC5" s="334" t="s">
        <v>37</v>
      </c>
      <c r="AD5" s="334" t="s">
        <v>37</v>
      </c>
    </row>
    <row r="6" spans="1:34">
      <c r="AC6" s="334" t="s">
        <v>124</v>
      </c>
      <c r="AD6" s="334" t="s">
        <v>129</v>
      </c>
    </row>
    <row r="7" spans="1:34">
      <c r="A7" s="336" t="s">
        <v>174</v>
      </c>
      <c r="B7" s="336" t="s">
        <v>109</v>
      </c>
      <c r="C7" s="336" t="s">
        <v>152</v>
      </c>
      <c r="D7" s="336" t="s">
        <v>156</v>
      </c>
      <c r="E7" s="336" t="s">
        <v>162</v>
      </c>
      <c r="F7" s="336" t="s">
        <v>308</v>
      </c>
      <c r="G7" s="336" t="s">
        <v>107</v>
      </c>
      <c r="H7" s="336" t="s">
        <v>208</v>
      </c>
      <c r="I7" s="336" t="s">
        <v>146</v>
      </c>
      <c r="J7" s="336" t="s">
        <v>134</v>
      </c>
      <c r="K7" s="336" t="s">
        <v>21</v>
      </c>
      <c r="L7" s="336" t="s">
        <v>59</v>
      </c>
      <c r="M7" s="336" t="s">
        <v>95</v>
      </c>
      <c r="N7" s="336" t="s">
        <v>19</v>
      </c>
      <c r="O7" s="336" t="s">
        <v>42</v>
      </c>
      <c r="P7" s="336" t="s">
        <v>119</v>
      </c>
      <c r="Q7" s="336" t="s">
        <v>175</v>
      </c>
      <c r="R7" s="336" t="s">
        <v>148</v>
      </c>
      <c r="S7" s="336" t="s">
        <v>167</v>
      </c>
      <c r="T7" s="336" t="s">
        <v>15</v>
      </c>
      <c r="U7" s="336" t="s">
        <v>113</v>
      </c>
      <c r="V7" s="336" t="s">
        <v>309</v>
      </c>
      <c r="W7" s="336" t="s">
        <v>169</v>
      </c>
      <c r="X7" s="336" t="s">
        <v>164</v>
      </c>
      <c r="Y7" s="336" t="s">
        <v>303</v>
      </c>
      <c r="Z7" s="336" t="s">
        <v>106</v>
      </c>
      <c r="AC7" s="334" t="s">
        <v>41</v>
      </c>
      <c r="AD7" s="334" t="s">
        <v>41</v>
      </c>
    </row>
    <row r="8" spans="1:34">
      <c r="A8" s="336" t="s">
        <v>314</v>
      </c>
      <c r="B8" s="336" t="s">
        <v>96</v>
      </c>
      <c r="C8" s="336" t="s">
        <v>227</v>
      </c>
      <c r="D8" s="336" t="s">
        <v>108</v>
      </c>
      <c r="E8" s="336" t="s">
        <v>159</v>
      </c>
      <c r="F8" s="336" t="s">
        <v>288</v>
      </c>
      <c r="G8" s="336" t="s">
        <v>94</v>
      </c>
      <c r="H8" s="336" t="s">
        <v>226</v>
      </c>
      <c r="I8" s="336" t="s">
        <v>143</v>
      </c>
      <c r="J8" s="336" t="s">
        <v>130</v>
      </c>
      <c r="K8" s="336" t="s">
        <v>209</v>
      </c>
      <c r="L8" s="336" t="s">
        <v>125</v>
      </c>
      <c r="M8" s="336" t="s">
        <v>257</v>
      </c>
      <c r="N8" s="337" t="s">
        <v>293</v>
      </c>
      <c r="O8" s="338" t="s">
        <v>139</v>
      </c>
      <c r="P8" s="336" t="s">
        <v>197</v>
      </c>
      <c r="Q8" s="336" t="s">
        <v>282</v>
      </c>
      <c r="R8" s="336" t="s">
        <v>284</v>
      </c>
      <c r="S8" s="336" t="s">
        <v>228</v>
      </c>
      <c r="T8" s="336" t="s">
        <v>200</v>
      </c>
      <c r="U8" s="336" t="s">
        <v>135</v>
      </c>
      <c r="V8" s="336" t="s">
        <v>292</v>
      </c>
      <c r="W8" s="336" t="s">
        <v>283</v>
      </c>
      <c r="X8" s="336" t="s">
        <v>291</v>
      </c>
      <c r="Y8" s="336" t="s">
        <v>223</v>
      </c>
      <c r="Z8" s="336" t="s">
        <v>224</v>
      </c>
      <c r="AC8" s="334" t="s">
        <v>207</v>
      </c>
      <c r="AD8" s="334" t="s">
        <v>136</v>
      </c>
    </row>
    <row r="9" spans="1:34">
      <c r="AC9" s="334" t="s">
        <v>46</v>
      </c>
      <c r="AD9" s="334" t="s">
        <v>45</v>
      </c>
    </row>
    <row r="10" spans="1:34">
      <c r="A10" s="339" t="s">
        <v>144</v>
      </c>
      <c r="C10" s="334" t="s">
        <v>637</v>
      </c>
      <c r="E10" s="334" t="s">
        <v>120</v>
      </c>
      <c r="G10" s="338" t="s">
        <v>161</v>
      </c>
      <c r="AC10" s="334" t="s">
        <v>196</v>
      </c>
      <c r="AD10" s="334" t="s">
        <v>236</v>
      </c>
    </row>
    <row r="11" spans="1:34">
      <c r="A11" s="339" t="s">
        <v>250</v>
      </c>
      <c r="C11" s="334" t="s">
        <v>638</v>
      </c>
      <c r="E11" s="334" t="s">
        <v>210</v>
      </c>
      <c r="G11" s="338" t="s">
        <v>217</v>
      </c>
      <c r="AC11" s="334" t="s">
        <v>43</v>
      </c>
      <c r="AD11" s="334" t="s">
        <v>43</v>
      </c>
    </row>
    <row r="12" spans="1:34">
      <c r="A12" s="339" t="s">
        <v>254</v>
      </c>
      <c r="C12" s="334" t="s">
        <v>639</v>
      </c>
      <c r="E12" s="334" t="s">
        <v>207</v>
      </c>
      <c r="G12" s="338" t="s">
        <v>195</v>
      </c>
      <c r="AC12" s="334" t="s">
        <v>241</v>
      </c>
      <c r="AD12" s="334" t="s">
        <v>11</v>
      </c>
    </row>
    <row r="13" spans="1:34">
      <c r="A13" s="339" t="s">
        <v>141</v>
      </c>
      <c r="C13" s="334" t="s">
        <v>640</v>
      </c>
      <c r="E13" s="334" t="s">
        <v>183</v>
      </c>
      <c r="G13" s="338" t="s">
        <v>215</v>
      </c>
      <c r="AC13" s="334" t="s">
        <v>203</v>
      </c>
      <c r="AD13" s="334" t="s">
        <v>47</v>
      </c>
    </row>
    <row r="14" spans="1:34">
      <c r="A14" s="339" t="s">
        <v>142</v>
      </c>
      <c r="C14" s="334" t="s">
        <v>641</v>
      </c>
      <c r="E14" s="334" t="s">
        <v>46</v>
      </c>
      <c r="G14" s="338" t="s">
        <v>220</v>
      </c>
      <c r="AC14" s="334" t="s">
        <v>204</v>
      </c>
      <c r="AD14" s="334" t="s">
        <v>238</v>
      </c>
    </row>
    <row r="15" spans="1:34">
      <c r="A15" s="339" t="s">
        <v>140</v>
      </c>
      <c r="C15" s="334" t="s">
        <v>642</v>
      </c>
      <c r="E15" s="334" t="s">
        <v>203</v>
      </c>
      <c r="G15" s="338" t="s">
        <v>203</v>
      </c>
      <c r="AC15" s="334" t="s">
        <v>185</v>
      </c>
      <c r="AD15" s="334" t="s">
        <v>49</v>
      </c>
    </row>
    <row r="16" spans="1:34">
      <c r="A16" s="339" t="s">
        <v>138</v>
      </c>
      <c r="C16" s="334" t="s">
        <v>643</v>
      </c>
      <c r="E16" s="334" t="s">
        <v>185</v>
      </c>
      <c r="G16" s="338" t="s">
        <v>185</v>
      </c>
      <c r="AC16" s="334" t="s">
        <v>187</v>
      </c>
      <c r="AD16" s="334" t="s">
        <v>242</v>
      </c>
    </row>
    <row r="18" spans="29:30">
      <c r="AC18" s="334" t="s">
        <v>218</v>
      </c>
      <c r="AD18" s="334" t="s">
        <v>66</v>
      </c>
    </row>
    <row r="19" spans="29:30">
      <c r="AC19" s="334" t="s">
        <v>199</v>
      </c>
      <c r="AD19" s="334" t="s">
        <v>68</v>
      </c>
    </row>
    <row r="20" spans="29:30">
      <c r="AC20" s="334" t="s">
        <v>188</v>
      </c>
      <c r="AD20" s="334" t="s">
        <v>72</v>
      </c>
    </row>
    <row r="21" spans="29:30">
      <c r="AC21" s="334" t="s">
        <v>216</v>
      </c>
      <c r="AD21" s="334" t="s">
        <v>87</v>
      </c>
    </row>
    <row r="22" spans="29:30">
      <c r="AC22" s="334" t="s">
        <v>221</v>
      </c>
      <c r="AD22" s="334" t="s">
        <v>70</v>
      </c>
    </row>
    <row r="24" spans="29:30">
      <c r="AC24" s="334" t="s">
        <v>215</v>
      </c>
      <c r="AD24" s="334" t="s">
        <v>572</v>
      </c>
    </row>
    <row r="25" spans="29:30">
      <c r="AC25" s="334" t="s">
        <v>217</v>
      </c>
      <c r="AD25" s="334" t="s">
        <v>570</v>
      </c>
    </row>
    <row r="26" spans="29:30">
      <c r="AC26" s="334" t="s">
        <v>195</v>
      </c>
      <c r="AD26" s="334" t="s">
        <v>571</v>
      </c>
    </row>
    <row r="27" spans="29:30">
      <c r="AC27" s="334" t="s">
        <v>220</v>
      </c>
      <c r="AD27" s="334" t="s">
        <v>388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FE60-3F5A-4A76-8D3B-C53E49E663E0}">
  <dimension ref="B2:T10"/>
  <sheetViews>
    <sheetView workbookViewId="0">
      <pane ySplit="2" topLeftCell="A3" activePane="bottomLeft" state="frozen"/>
      <selection pane="bottomLeft" activeCell="G15" sqref="G15"/>
    </sheetView>
  </sheetViews>
  <sheetFormatPr defaultRowHeight="21"/>
  <cols>
    <col min="1" max="1" width="3.5" customWidth="1"/>
    <col min="2" max="9" width="11.296875" customWidth="1"/>
    <col min="16" max="16" width="23.296875" customWidth="1"/>
    <col min="19" max="19" width="23.296875" customWidth="1"/>
  </cols>
  <sheetData>
    <row r="2" spans="2:20" ht="25.5">
      <c r="B2" s="381" t="s">
        <v>678</v>
      </c>
      <c r="C2" s="381" t="s">
        <v>679</v>
      </c>
      <c r="D2" s="381" t="s">
        <v>688</v>
      </c>
      <c r="E2" s="381" t="s">
        <v>7</v>
      </c>
      <c r="F2" s="381" t="s">
        <v>666</v>
      </c>
      <c r="G2" s="381" t="s">
        <v>667</v>
      </c>
      <c r="H2" s="381" t="s">
        <v>668</v>
      </c>
      <c r="I2" s="381" t="s">
        <v>669</v>
      </c>
    </row>
    <row r="3" spans="2:20" ht="39">
      <c r="B3" s="388" t="s">
        <v>670</v>
      </c>
      <c r="C3" s="388" t="s">
        <v>680</v>
      </c>
      <c r="D3" s="388">
        <v>55</v>
      </c>
      <c r="E3" s="388" t="s">
        <v>247</v>
      </c>
      <c r="F3" s="384">
        <v>1</v>
      </c>
      <c r="G3" s="385" t="s">
        <v>263</v>
      </c>
      <c r="H3" s="383">
        <v>1</v>
      </c>
      <c r="I3" s="382" t="s">
        <v>262</v>
      </c>
      <c r="L3" s="160" t="s">
        <v>651</v>
      </c>
      <c r="M3" s="266">
        <v>1</v>
      </c>
      <c r="N3" s="160">
        <v>2</v>
      </c>
      <c r="O3" s="160">
        <v>3</v>
      </c>
      <c r="P3" s="160">
        <v>4</v>
      </c>
      <c r="Q3" s="160">
        <v>5</v>
      </c>
      <c r="R3" s="160">
        <v>7</v>
      </c>
      <c r="S3" s="160">
        <v>8</v>
      </c>
      <c r="T3" s="93"/>
    </row>
    <row r="4" spans="2:20" ht="39">
      <c r="B4" s="388" t="s">
        <v>672</v>
      </c>
      <c r="C4" s="388" t="s">
        <v>681</v>
      </c>
      <c r="D4" s="388">
        <v>33</v>
      </c>
      <c r="E4" s="388" t="s">
        <v>55</v>
      </c>
      <c r="F4" s="384">
        <v>7</v>
      </c>
      <c r="G4" s="386" t="s">
        <v>76</v>
      </c>
      <c r="H4" s="383">
        <v>6</v>
      </c>
      <c r="I4" s="382" t="s">
        <v>231</v>
      </c>
      <c r="L4" s="160" t="s">
        <v>652</v>
      </c>
      <c r="M4" s="266" t="s">
        <v>653</v>
      </c>
      <c r="N4" s="160" t="s">
        <v>654</v>
      </c>
      <c r="O4" s="160" t="s">
        <v>277</v>
      </c>
      <c r="P4" s="160" t="s">
        <v>646</v>
      </c>
      <c r="Q4" s="160" t="s">
        <v>280</v>
      </c>
      <c r="R4" s="160" t="s">
        <v>279</v>
      </c>
      <c r="S4" s="160" t="s">
        <v>648</v>
      </c>
      <c r="T4" s="93"/>
    </row>
    <row r="5" spans="2:20" ht="39">
      <c r="B5" s="388" t="s">
        <v>673</v>
      </c>
      <c r="C5" s="388" t="s">
        <v>682</v>
      </c>
      <c r="D5" s="388">
        <v>31</v>
      </c>
      <c r="E5" s="388" t="s">
        <v>256</v>
      </c>
      <c r="F5" s="384">
        <v>3</v>
      </c>
      <c r="G5" s="387" t="s">
        <v>74</v>
      </c>
      <c r="H5" s="383">
        <v>5</v>
      </c>
      <c r="I5" s="382" t="s">
        <v>644</v>
      </c>
      <c r="L5" s="160" t="s">
        <v>651</v>
      </c>
      <c r="M5" s="266"/>
      <c r="N5" s="160" t="s">
        <v>73</v>
      </c>
      <c r="O5" s="160" t="s">
        <v>74</v>
      </c>
      <c r="P5" s="160" t="s">
        <v>655</v>
      </c>
      <c r="Q5" s="160" t="s">
        <v>75</v>
      </c>
      <c r="R5" s="160" t="s">
        <v>76</v>
      </c>
      <c r="S5" s="160" t="s">
        <v>656</v>
      </c>
      <c r="T5" s="93"/>
    </row>
    <row r="6" spans="2:20" ht="39">
      <c r="B6" s="388" t="s">
        <v>674</v>
      </c>
      <c r="C6" s="388" t="s">
        <v>686</v>
      </c>
      <c r="D6" s="388">
        <v>51</v>
      </c>
      <c r="E6" s="388">
        <v>4</v>
      </c>
      <c r="F6" s="384">
        <v>2</v>
      </c>
      <c r="G6" s="387" t="s">
        <v>73</v>
      </c>
      <c r="H6" s="383">
        <v>3</v>
      </c>
      <c r="I6" s="382" t="s">
        <v>264</v>
      </c>
      <c r="L6" s="160" t="s">
        <v>657</v>
      </c>
      <c r="M6" s="266" t="s">
        <v>658</v>
      </c>
      <c r="N6" s="160" t="s">
        <v>659</v>
      </c>
      <c r="O6" s="160" t="s">
        <v>660</v>
      </c>
      <c r="P6" s="160" t="s">
        <v>661</v>
      </c>
      <c r="Q6" s="160" t="s">
        <v>662</v>
      </c>
      <c r="R6" s="160" t="s">
        <v>663</v>
      </c>
      <c r="S6" s="160" t="s">
        <v>664</v>
      </c>
      <c r="T6" s="93"/>
    </row>
    <row r="7" spans="2:20" ht="39">
      <c r="B7" s="388" t="s">
        <v>675</v>
      </c>
      <c r="C7" s="388" t="s">
        <v>687</v>
      </c>
      <c r="D7" s="388">
        <v>24</v>
      </c>
      <c r="E7" s="388">
        <v>6</v>
      </c>
      <c r="F7" s="384">
        <v>5</v>
      </c>
      <c r="G7" s="387" t="s">
        <v>75</v>
      </c>
      <c r="H7" s="383">
        <v>2</v>
      </c>
      <c r="I7" s="382" t="s">
        <v>75</v>
      </c>
    </row>
    <row r="8" spans="2:20" ht="39">
      <c r="B8" s="388" t="s">
        <v>671</v>
      </c>
      <c r="C8" s="388" t="s">
        <v>683</v>
      </c>
      <c r="D8" s="388">
        <v>30</v>
      </c>
      <c r="E8" s="388" t="s">
        <v>251</v>
      </c>
      <c r="F8" s="384">
        <v>4</v>
      </c>
      <c r="G8" s="385" t="s">
        <v>263</v>
      </c>
      <c r="H8" s="383">
        <v>7</v>
      </c>
      <c r="I8" s="382" t="s">
        <v>262</v>
      </c>
    </row>
    <row r="9" spans="2:20" ht="39">
      <c r="B9" s="388" t="s">
        <v>676</v>
      </c>
      <c r="C9" s="388" t="s">
        <v>684</v>
      </c>
      <c r="D9" s="388">
        <v>50</v>
      </c>
      <c r="E9" s="388" t="s">
        <v>248</v>
      </c>
      <c r="F9" s="384">
        <v>8</v>
      </c>
      <c r="G9" s="385" t="s">
        <v>665</v>
      </c>
      <c r="H9" s="383">
        <v>8</v>
      </c>
      <c r="I9" s="382" t="s">
        <v>75</v>
      </c>
    </row>
    <row r="10" spans="2:20" ht="39">
      <c r="B10" s="388" t="s">
        <v>677</v>
      </c>
      <c r="C10" s="388" t="s">
        <v>685</v>
      </c>
      <c r="D10" s="388">
        <v>20</v>
      </c>
      <c r="E10" s="388">
        <v>7</v>
      </c>
      <c r="F10" s="384">
        <v>0</v>
      </c>
      <c r="G10" s="385" t="s">
        <v>690</v>
      </c>
      <c r="H10" s="383">
        <v>0</v>
      </c>
      <c r="I10" s="382" t="s">
        <v>77</v>
      </c>
    </row>
  </sheetData>
  <phoneticPr fontId="7" type="noConversion"/>
  <conditionalFormatting sqref="I3:I10">
    <cfRule type="cellIs" dxfId="3" priority="3" operator="equal">
      <formula>CHAR(32)</formula>
    </cfRule>
  </conditionalFormatting>
  <conditionalFormatting sqref="B3:D10">
    <cfRule type="cellIs" dxfId="2" priority="2" operator="equal">
      <formula>CHAR(32)</formula>
    </cfRule>
  </conditionalFormatting>
  <conditionalFormatting sqref="E3:E10">
    <cfRule type="cellIs" dxfId="1" priority="1" operator="equal">
      <formula>CHAR(32)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FB7B-9376-48A8-BEE3-AD91F53814F2}">
  <dimension ref="B2:N18"/>
  <sheetViews>
    <sheetView tabSelected="1" workbookViewId="0">
      <selection activeCell="F14" sqref="F14"/>
    </sheetView>
  </sheetViews>
  <sheetFormatPr defaultRowHeight="21"/>
  <cols>
    <col min="2" max="2" width="12.3984375" customWidth="1"/>
    <col min="6" max="6" width="22.69921875" customWidth="1"/>
    <col min="7" max="7" width="15.59765625" customWidth="1"/>
    <col min="8" max="8" width="8.09765625" customWidth="1"/>
    <col min="9" max="9" width="12.69921875" style="86" customWidth="1"/>
    <col min="10" max="12" width="8.796875" style="86"/>
    <col min="14" max="14" width="17.796875" customWidth="1"/>
  </cols>
  <sheetData>
    <row r="2" spans="2:14" ht="38.25">
      <c r="B2" s="90" t="s">
        <v>326</v>
      </c>
      <c r="C2" s="87">
        <f xml:space="preserve"> HEX2DEC( RIGHT(B2,4))</f>
        <v>63696</v>
      </c>
      <c r="D2" s="320" t="str">
        <f xml:space="preserve"> IFERROR( _xlfn.UNICHAR(HEX2DEC(RIGHT(B2,4))), "")</f>
        <v></v>
      </c>
      <c r="G2" s="402" t="str">
        <f xml:space="preserve"> _xlfn.CONCAT("◌", _xlfn.UNICHAR(HEX2DEC(RIGHT("U+0301",4))), "U+0301")</f>
        <v>◌́U+0301</v>
      </c>
      <c r="I2" s="402" t="s">
        <v>698</v>
      </c>
      <c r="J2" s="399">
        <f xml:space="preserve"> IFERROR( HEX2DEC(RIGHT(I2,4)), "")</f>
        <v>769</v>
      </c>
      <c r="K2" s="399" t="str">
        <f xml:space="preserve"> IFERROR( _xlfn.CONCAT("o", _xlfn.UNICHAR(HEX2DEC(RIGHT(I2,4)))), "")</f>
        <v>ó</v>
      </c>
      <c r="L2" s="399" t="str">
        <f xml:space="preserve"> IFERROR( _xlfn.CONCAT("t", "o", _xlfn.UNICHAR(HEX2DEC(RIGHT(I2,4))), "ng"), "")</f>
        <v>tóng</v>
      </c>
      <c r="M2" s="380"/>
      <c r="N2" s="398" t="s">
        <v>704</v>
      </c>
    </row>
    <row r="3" spans="2:14" ht="38.25">
      <c r="B3" s="90" t="s">
        <v>327</v>
      </c>
      <c r="C3" s="87">
        <f xml:space="preserve"> HEX2DEC( RIGHT(B3,4))</f>
        <v>63697</v>
      </c>
      <c r="D3" s="320" t="str">
        <f xml:space="preserve"> IFERROR( _xlfn.UNICHAR(HEX2DEC(RIGHT(B3,4))), "")</f>
        <v></v>
      </c>
      <c r="G3" s="402" t="str">
        <f xml:space="preserve"> _xlfn.CONCAT("◌", _xlfn.UNICHAR(HEX2DEC(RIGHT("U+0300",4))), "U+0300")</f>
        <v>◌̀U+0300</v>
      </c>
      <c r="I3" s="402" t="s">
        <v>699</v>
      </c>
      <c r="J3" s="399">
        <f xml:space="preserve"> IFERROR( HEX2DEC(RIGHT(I3,4)), "")</f>
        <v>768</v>
      </c>
      <c r="K3" s="399" t="str">
        <f xml:space="preserve"> IFERROR( _xlfn.CONCAT("o", _xlfn.UNICHAR(HEX2DEC(RIGHT(I3,4)))), "")</f>
        <v>ò</v>
      </c>
      <c r="L3" s="399" t="str">
        <f xml:space="preserve"> IFERROR( _xlfn.CONCAT("t", "o", _xlfn.UNICHAR(HEX2DEC(RIGHT(I3,4))), "ng"), "")</f>
        <v>tòng</v>
      </c>
      <c r="M3" s="380"/>
      <c r="N3" s="398" t="s">
        <v>705</v>
      </c>
    </row>
    <row r="4" spans="2:14" ht="38.25">
      <c r="B4" s="90" t="s">
        <v>328</v>
      </c>
      <c r="C4" s="87">
        <f xml:space="preserve"> HEX2DEC( RIGHT(B4,4))</f>
        <v>63698</v>
      </c>
      <c r="D4" s="320" t="str">
        <f xml:space="preserve"> IFERROR( _xlfn.UNICHAR(HEX2DEC(RIGHT(B4,4))), "")</f>
        <v></v>
      </c>
      <c r="G4" s="402" t="str">
        <f xml:space="preserve"> _xlfn.CONCAT("◌", _xlfn.UNICHAR(HEX2DEC(RIGHT("U+030D",4))), "U+030D")</f>
        <v>◌̍U+030D</v>
      </c>
      <c r="I4" s="402" t="s">
        <v>700</v>
      </c>
      <c r="J4" s="399">
        <f xml:space="preserve"> IFERROR( HEX2DEC(RIGHT(I4,4)), "")</f>
        <v>781</v>
      </c>
      <c r="K4" s="399" t="str">
        <f xml:space="preserve"> IFERROR( _xlfn.CONCAT("o", _xlfn.UNICHAR(HEX2DEC(RIGHT(I4,4)))), "")</f>
        <v>o̍</v>
      </c>
      <c r="L4" s="399" t="str">
        <f xml:space="preserve"> IFERROR( _xlfn.CONCAT("t", "o", _xlfn.UNICHAR(HEX2DEC(RIGHT(I4,4))), "ng"), "")</f>
        <v>to̍ng</v>
      </c>
      <c r="M4" s="380"/>
      <c r="N4" s="398" t="s">
        <v>706</v>
      </c>
    </row>
    <row r="5" spans="2:14" ht="38.25">
      <c r="B5" s="90" t="s">
        <v>329</v>
      </c>
      <c r="C5" s="87">
        <f xml:space="preserve"> HEX2DEC( RIGHT(B5,4))</f>
        <v>63699</v>
      </c>
      <c r="D5" s="320" t="str">
        <f xml:space="preserve"> IFERROR( _xlfn.UNICHAR(HEX2DEC(RIGHT(B5,4))), "")</f>
        <v></v>
      </c>
      <c r="G5" s="402" t="str">
        <f xml:space="preserve"> _xlfn.CONCAT("◌", _xlfn.UNICHAR(HEX2DEC(RIGHT("U+0302",4))), "U+0302")</f>
        <v>◌̂U+0302</v>
      </c>
      <c r="I5" s="402" t="s">
        <v>701</v>
      </c>
      <c r="J5" s="399">
        <f xml:space="preserve"> IFERROR( HEX2DEC(RIGHT(I5,4)), "")</f>
        <v>770</v>
      </c>
      <c r="K5" s="399" t="str">
        <f xml:space="preserve"> IFERROR( _xlfn.CONCAT("o", _xlfn.UNICHAR(HEX2DEC(RIGHT(I5,4)))), "")</f>
        <v>ô</v>
      </c>
      <c r="L5" s="399" t="str">
        <f xml:space="preserve"> IFERROR( _xlfn.CONCAT("t", "o", _xlfn.UNICHAR(HEX2DEC(RIGHT(I5,4))), "ng"), "")</f>
        <v>tông</v>
      </c>
      <c r="M5" s="380"/>
      <c r="N5" s="398" t="s">
        <v>707</v>
      </c>
    </row>
    <row r="6" spans="2:14" ht="38.25">
      <c r="B6" s="89"/>
      <c r="C6" s="87"/>
      <c r="D6" s="320" t="str">
        <f xml:space="preserve"> IFERROR( _xlfn.UNICHAR(HEX2DEC(RIGHT(B6,4))), "")</f>
        <v/>
      </c>
      <c r="G6" s="402" t="str">
        <f xml:space="preserve"> _xlfn.CONCAT("◌", _xlfn.UNICHAR(HEX2DEC(RIGHT("U+030C",4))), "U+030C")</f>
        <v>◌̌U+030C</v>
      </c>
      <c r="I6" s="402" t="s">
        <v>702</v>
      </c>
      <c r="J6" s="399">
        <f xml:space="preserve"> IFERROR( HEX2DEC(RIGHT(I6,4)), "")</f>
        <v>780</v>
      </c>
      <c r="K6" s="399" t="str">
        <f xml:space="preserve"> IFERROR( _xlfn.CONCAT("o", _xlfn.UNICHAR(HEX2DEC(RIGHT(I6,4)))), "")</f>
        <v>ǒ</v>
      </c>
      <c r="L6" s="399" t="str">
        <f xml:space="preserve"> IFERROR( _xlfn.CONCAT("t", "o", _xlfn.UNICHAR(HEX2DEC(RIGHT(I6,4))), "ng"), "")</f>
        <v>tǒng</v>
      </c>
      <c r="M6" s="380"/>
      <c r="N6" s="398" t="s">
        <v>708</v>
      </c>
    </row>
    <row r="7" spans="2:14" ht="38.25">
      <c r="B7" s="90" t="s">
        <v>330</v>
      </c>
      <c r="C7" s="87">
        <f xml:space="preserve"> HEX2DEC( RIGHT(B7,4))</f>
        <v>63712</v>
      </c>
      <c r="D7" s="320" t="str">
        <f xml:space="preserve"> IFERROR( _xlfn.UNICHAR(HEX2DEC(RIGHT(B7,4))), "")</f>
        <v></v>
      </c>
      <c r="G7" s="402" t="str">
        <f xml:space="preserve"> _xlfn.CONCAT("◌", _xlfn.UNICHAR(HEX2DEC(RIGHT("U+0304",4))), "U+0304")</f>
        <v>◌̄U+0304</v>
      </c>
      <c r="I7" s="402" t="s">
        <v>703</v>
      </c>
      <c r="J7" s="399">
        <f xml:space="preserve"> IFERROR( HEX2DEC(RIGHT(I7,4)), "")</f>
        <v>772</v>
      </c>
      <c r="K7" s="399" t="str">
        <f xml:space="preserve"> IFERROR( _xlfn.CONCAT("o", _xlfn.UNICHAR(HEX2DEC(RIGHT(I7,4)))), "")</f>
        <v>ō</v>
      </c>
      <c r="L7" s="399" t="str">
        <f xml:space="preserve"> IFERROR( _xlfn.CONCAT("t", "o", _xlfn.UNICHAR(HEX2DEC(RIGHT("U+0304",4))), "ng"), "")</f>
        <v>tōng</v>
      </c>
      <c r="M7" s="380"/>
      <c r="N7" s="398" t="s">
        <v>709</v>
      </c>
    </row>
    <row r="8" spans="2:14" ht="38.25">
      <c r="B8" s="90" t="s">
        <v>331</v>
      </c>
      <c r="C8" s="87">
        <f xml:space="preserve"> HEX2DEC( RIGHT(B8,4))</f>
        <v>63713</v>
      </c>
      <c r="D8" s="320" t="str">
        <f xml:space="preserve"> IFERROR( _xlfn.UNICHAR(HEX2DEC(RIGHT(B8,4))), "")</f>
        <v></v>
      </c>
      <c r="G8" s="402" t="str">
        <f xml:space="preserve"> _xlfn.CONCAT("◌", _xlfn.UNICHAR(HEX2DEC(RIGHT("U+030D",4))), "U+030D")</f>
        <v>◌̍U+030D</v>
      </c>
      <c r="I8" s="402" t="str">
        <f xml:space="preserve"> _xlfn.CONCAT("◌", _xlfn.UNICHAR(HEX2DEC(RIGHT("U+030D",4))), "U+030D")</f>
        <v>◌̍U+030D</v>
      </c>
      <c r="J8" s="399">
        <f t="shared" ref="J8:J9" si="0" xml:space="preserve"> IFERROR( HEX2DEC(RIGHT(I8,4)), "")</f>
        <v>781</v>
      </c>
      <c r="K8" s="399" t="str">
        <f t="shared" ref="K8:K9" si="1" xml:space="preserve"> IFERROR( _xlfn.CONCAT("o", _xlfn.UNICHAR(HEX2DEC(RIGHT(I8,4)))), "")</f>
        <v>o̍</v>
      </c>
      <c r="L8" s="399" t="str">
        <f t="shared" ref="L8:L9" si="2" xml:space="preserve"> IFERROR( _xlfn.CONCAT("t", "o", _xlfn.UNICHAR(HEX2DEC(RIGHT(I8,4))), "ng"), "")</f>
        <v>to̍ng</v>
      </c>
      <c r="M8" s="380"/>
      <c r="N8" s="398" t="s">
        <v>710</v>
      </c>
    </row>
    <row r="9" spans="2:14" ht="38.25">
      <c r="B9" s="89"/>
      <c r="C9" s="87"/>
      <c r="D9" s="320" t="str">
        <f xml:space="preserve"> IFERROR( _xlfn.UNICHAR(HEX2DEC(RIGHT(B9,4))), "")</f>
        <v/>
      </c>
      <c r="G9" s="402" t="str">
        <f xml:space="preserve"> _xlfn.CONCAT("◌", _xlfn.UNICHAR(HEX2DEC(RIGHT("U+030B",4))), "U+030B")</f>
        <v>◌̋U+030B</v>
      </c>
      <c r="I9" s="402" t="str">
        <f xml:space="preserve"> _xlfn.CONCAT("◌", _xlfn.UNICHAR(HEX2DEC(RIGHT("U+030B",4))), "U+030B")</f>
        <v>◌̋U+030B</v>
      </c>
      <c r="J9" s="399">
        <f t="shared" si="0"/>
        <v>779</v>
      </c>
      <c r="K9" s="399" t="str">
        <f t="shared" si="1"/>
        <v>ő</v>
      </c>
      <c r="L9" s="399" t="str">
        <f t="shared" si="2"/>
        <v>tőng</v>
      </c>
      <c r="M9" s="380"/>
      <c r="N9" s="398" t="s">
        <v>711</v>
      </c>
    </row>
    <row r="10" spans="2:14" ht="38.25">
      <c r="B10" s="90" t="s">
        <v>332</v>
      </c>
      <c r="C10" s="87">
        <f xml:space="preserve"> HEX2DEC( RIGHT(B10,4))</f>
        <v>63728</v>
      </c>
      <c r="D10" s="320" t="str">
        <f xml:space="preserve"> IFERROR( _xlfn.UNICHAR(HEX2DEC(RIGHT(B10,4))), "")</f>
        <v></v>
      </c>
      <c r="G10" s="402" t="str">
        <f xml:space="preserve"> _xlfn.CONCAT("◌", _xlfn.UNICHAR(HEX2DEC(RIGHT("U+030A",4))), "U+030A")</f>
        <v>◌̊U+030A</v>
      </c>
      <c r="I10" s="402" t="str">
        <f xml:space="preserve"> _xlfn.CONCAT("◌", _xlfn.UNICHAR(HEX2DEC(RIGHT("U+030A",4))), "U+030A")</f>
        <v>◌̊U+030A</v>
      </c>
      <c r="J10" s="399">
        <f t="shared" ref="J10" si="3" xml:space="preserve"> IFERROR( HEX2DEC(RIGHT(I10,4)), "")</f>
        <v>778</v>
      </c>
      <c r="K10" s="399" t="str">
        <f t="shared" ref="K10" si="4" xml:space="preserve"> IFERROR( _xlfn.CONCAT("o", _xlfn.UNICHAR(HEX2DEC(RIGHT(I10,4)))), "")</f>
        <v>o̊</v>
      </c>
      <c r="L10" s="399" t="str">
        <f t="shared" ref="L10" si="5" xml:space="preserve"> IFERROR( _xlfn.CONCAT("t", "o", _xlfn.UNICHAR(HEX2DEC(RIGHT(I10,4))), "ng"), "")</f>
        <v>to̊ng</v>
      </c>
      <c r="M10" s="380"/>
      <c r="N10" s="398" t="s">
        <v>712</v>
      </c>
    </row>
    <row r="11" spans="2:14" ht="38.25">
      <c r="B11" s="90" t="s">
        <v>333</v>
      </c>
      <c r="C11" s="87">
        <f xml:space="preserve"> HEX2DEC( RIGHT(B11,4))</f>
        <v>63729</v>
      </c>
      <c r="D11" s="320" t="str">
        <f xml:space="preserve"> IFERROR( _xlfn.UNICHAR(HEX2DEC(RIGHT(B11,4))), "")</f>
        <v></v>
      </c>
    </row>
    <row r="12" spans="2:14" ht="38.25">
      <c r="B12" s="90" t="s">
        <v>334</v>
      </c>
      <c r="C12" s="87">
        <f xml:space="preserve"> HEX2DEC( RIGHT(B12,4))</f>
        <v>63730</v>
      </c>
      <c r="D12" s="320" t="str">
        <f xml:space="preserve"> IFERROR( _xlfn.UNICHAR(HEX2DEC(RIGHT(B12,4))), "")</f>
        <v></v>
      </c>
    </row>
    <row r="13" spans="2:14" ht="38.25">
      <c r="B13" s="90" t="s">
        <v>335</v>
      </c>
      <c r="C13" s="87">
        <f xml:space="preserve"> HEX2DEC( RIGHT(B13,4))</f>
        <v>63731</v>
      </c>
      <c r="D13" s="320" t="str">
        <f xml:space="preserve"> IFERROR( _xlfn.UNICHAR(HEX2DEC(RIGHT(B13,4))), "")</f>
        <v></v>
      </c>
    </row>
    <row r="15" spans="2:14" ht="25.5">
      <c r="I15" s="379"/>
    </row>
    <row r="16" spans="2:14" ht="30">
      <c r="B16" s="400" t="s">
        <v>713</v>
      </c>
      <c r="C16" s="401"/>
      <c r="D16" s="401"/>
      <c r="E16" s="401"/>
      <c r="F16" s="401"/>
      <c r="G16" s="401" t="s">
        <v>716</v>
      </c>
      <c r="I16" s="402" t="str">
        <f t="shared" ref="I16" si="6" xml:space="preserve"> _xlfn.CONCAT("a", _xlfn.UNICHAR(HEX2DEC(RIGHT("U+030A",4))))</f>
        <v>å</v>
      </c>
    </row>
    <row r="17" spans="2:9" ht="30">
      <c r="B17" s="400" t="s">
        <v>714</v>
      </c>
      <c r="C17" s="401"/>
      <c r="D17" s="401"/>
      <c r="E17" s="401"/>
      <c r="F17" s="401"/>
      <c r="G17" s="401" t="s">
        <v>717</v>
      </c>
      <c r="H17" s="401"/>
      <c r="I17" s="402" t="str">
        <f xml:space="preserve"> _xlfn.CONCAT("a", _xlfn.UNICHAR(HEX2DEC(RIGHT("U+0317",4))))</f>
        <v>a̗</v>
      </c>
    </row>
    <row r="18" spans="2:9" ht="30">
      <c r="B18" s="400" t="s">
        <v>715</v>
      </c>
      <c r="C18" s="401"/>
      <c r="D18" s="401"/>
      <c r="E18" s="401"/>
      <c r="F18" s="401"/>
      <c r="G18" s="401" t="s">
        <v>718</v>
      </c>
      <c r="H18" s="401"/>
      <c r="I18" s="402" t="str">
        <f xml:space="preserve"> _xlfn.CONCAT("a", _xlfn.UNICHAR(HEX2DEC(RIGHT("U+030D",4))))</f>
        <v>a̍</v>
      </c>
    </row>
  </sheetData>
  <phoneticPr fontId="7" type="noConversion"/>
  <hyperlinks>
    <hyperlink ref="I8" r:id="rId1" display="https://zi-hi.com/sp/uni/030D" xr:uid="{65B576C0-1C42-4B42-8297-0B400C8E0253}"/>
    <hyperlink ref="I9" r:id="rId2" display="https://zi-hi.com/sp/uni/030B" xr:uid="{BA989746-7D8F-4F09-AB12-46AC697EB65B}"/>
    <hyperlink ref="I10" r:id="rId3" display="https://zi-hi.com/sp/uni/030B" xr:uid="{09333384-1EA4-40A1-9C5F-EBF08B1E686B}"/>
    <hyperlink ref="I7" r:id="rId4" display="https://zi-hi.com/sp/uni/0304" xr:uid="{37D57C10-D11E-4B39-B426-9EA482555BCF}"/>
    <hyperlink ref="I6" r:id="rId5" display="https://zi-hi.com/sp/uni/030C" xr:uid="{E5D2DB4A-DE47-424D-8295-E3CA9BE7FE55}"/>
    <hyperlink ref="I5" r:id="rId6" display="https://zi-hi.com/sp/uni/0302" xr:uid="{16ADCB15-6979-4E2D-A046-EA406F6871A3}"/>
    <hyperlink ref="I3" r:id="rId7" display="https://zi-hi.com/sp/uni/0300" xr:uid="{CDECF1AF-E9B8-4267-B622-555DF3167D23}"/>
    <hyperlink ref="I2" r:id="rId8" display="https://zi-hi.com/sp/uni/0301" xr:uid="{68194560-8EED-4636-9054-064EF2DB1F6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DD27-9E54-49AB-BE5E-44388DFBFE0B}">
  <sheetPr>
    <tabColor theme="9"/>
  </sheetPr>
  <dimension ref="B2:J58"/>
  <sheetViews>
    <sheetView workbookViewId="0"/>
  </sheetViews>
  <sheetFormatPr defaultRowHeight="21"/>
  <cols>
    <col min="1" max="2" width="6.3984375" style="126" customWidth="1"/>
    <col min="3" max="5" width="7.8984375" style="126" customWidth="1"/>
    <col min="6" max="6" width="10.296875" style="126" customWidth="1"/>
    <col min="7" max="9" width="7.8984375" style="126" customWidth="1"/>
    <col min="10" max="10" width="114.296875" style="160" customWidth="1"/>
    <col min="11" max="15" width="6.3984375" style="126" customWidth="1"/>
    <col min="16" max="16384" width="8.796875" style="126"/>
  </cols>
  <sheetData>
    <row r="2" spans="2:10">
      <c r="B2" s="191" t="s">
        <v>4</v>
      </c>
      <c r="C2" s="192" t="s">
        <v>3</v>
      </c>
      <c r="D2" s="192" t="s">
        <v>418</v>
      </c>
      <c r="E2" s="192" t="s">
        <v>419</v>
      </c>
      <c r="F2" s="193" t="s">
        <v>2</v>
      </c>
      <c r="G2" s="193" t="s">
        <v>420</v>
      </c>
      <c r="H2" s="193" t="s">
        <v>176</v>
      </c>
      <c r="I2" s="193" t="s">
        <v>421</v>
      </c>
      <c r="J2" s="193" t="s">
        <v>422</v>
      </c>
    </row>
    <row r="3" spans="2:10" ht="32.25" customHeight="1">
      <c r="B3" s="127">
        <f t="shared" ref="B3:B48" si="0">ROW() - 2</f>
        <v>1</v>
      </c>
      <c r="C3" s="128" t="s">
        <v>178</v>
      </c>
      <c r="D3" s="129" t="s">
        <v>119</v>
      </c>
      <c r="E3" s="130" t="s">
        <v>119</v>
      </c>
      <c r="F3" s="173" t="s">
        <v>8</v>
      </c>
      <c r="G3" s="173" t="s">
        <v>336</v>
      </c>
      <c r="H3" s="173" t="s">
        <v>119</v>
      </c>
      <c r="I3" s="173" t="s">
        <v>109</v>
      </c>
      <c r="J3" s="174"/>
    </row>
    <row r="4" spans="2:10" ht="32.25" customHeight="1">
      <c r="B4" s="131">
        <f t="shared" si="0"/>
        <v>2</v>
      </c>
      <c r="C4" s="132" t="s">
        <v>194</v>
      </c>
      <c r="D4" s="133" t="s">
        <v>109</v>
      </c>
      <c r="E4" s="134" t="s">
        <v>109</v>
      </c>
      <c r="F4" s="175" t="s">
        <v>12</v>
      </c>
      <c r="G4" s="173" t="s">
        <v>336</v>
      </c>
      <c r="H4" s="175" t="s">
        <v>109</v>
      </c>
      <c r="I4" s="175" t="s">
        <v>374</v>
      </c>
      <c r="J4" s="176"/>
    </row>
    <row r="5" spans="2:10" ht="32.25" customHeight="1">
      <c r="B5" s="131">
        <f t="shared" si="0"/>
        <v>3</v>
      </c>
      <c r="C5" s="132" t="s">
        <v>175</v>
      </c>
      <c r="D5" s="133" t="s">
        <v>197</v>
      </c>
      <c r="E5" s="134" t="s">
        <v>423</v>
      </c>
      <c r="F5" s="175" t="s">
        <v>10</v>
      </c>
      <c r="G5" s="173" t="s">
        <v>336</v>
      </c>
      <c r="H5" s="175" t="s">
        <v>193</v>
      </c>
      <c r="I5" s="175" t="s">
        <v>119</v>
      </c>
      <c r="J5" s="176"/>
    </row>
    <row r="6" spans="2:10" ht="32.25" customHeight="1">
      <c r="B6" s="135">
        <f t="shared" si="0"/>
        <v>4</v>
      </c>
      <c r="C6" s="136" t="s">
        <v>174</v>
      </c>
      <c r="D6" s="137" t="s">
        <v>95</v>
      </c>
      <c r="E6" s="138" t="s">
        <v>95</v>
      </c>
      <c r="F6" s="177" t="s">
        <v>56</v>
      </c>
      <c r="G6" s="173" t="s">
        <v>336</v>
      </c>
      <c r="H6" s="177" t="s">
        <v>95</v>
      </c>
      <c r="I6" s="177" t="s">
        <v>95</v>
      </c>
      <c r="J6" s="178" t="s">
        <v>424</v>
      </c>
    </row>
    <row r="7" spans="2:10" ht="32.25" customHeight="1">
      <c r="B7" s="127">
        <f t="shared" si="0"/>
        <v>5</v>
      </c>
      <c r="C7" s="128" t="s">
        <v>172</v>
      </c>
      <c r="D7" s="129" t="s">
        <v>15</v>
      </c>
      <c r="E7" s="130" t="s">
        <v>15</v>
      </c>
      <c r="F7" s="173" t="s">
        <v>14</v>
      </c>
      <c r="G7" s="173" t="s">
        <v>336</v>
      </c>
      <c r="H7" s="173" t="s">
        <v>15</v>
      </c>
      <c r="I7" s="173" t="s">
        <v>156</v>
      </c>
      <c r="J7" s="174"/>
    </row>
    <row r="8" spans="2:10" ht="32.25" customHeight="1">
      <c r="B8" s="131">
        <f t="shared" si="0"/>
        <v>6</v>
      </c>
      <c r="C8" s="132" t="s">
        <v>169</v>
      </c>
      <c r="D8" s="133" t="s">
        <v>200</v>
      </c>
      <c r="E8" s="134" t="s">
        <v>425</v>
      </c>
      <c r="F8" s="175" t="s">
        <v>16</v>
      </c>
      <c r="G8" s="173" t="s">
        <v>336</v>
      </c>
      <c r="H8" s="175" t="s">
        <v>17</v>
      </c>
      <c r="I8" s="175" t="s">
        <v>15</v>
      </c>
      <c r="J8" s="176"/>
    </row>
    <row r="9" spans="2:10" ht="32.25" customHeight="1">
      <c r="B9" s="131">
        <f t="shared" si="0"/>
        <v>7</v>
      </c>
      <c r="C9" s="132" t="s">
        <v>167</v>
      </c>
      <c r="D9" s="133" t="s">
        <v>19</v>
      </c>
      <c r="E9" s="134" t="s">
        <v>19</v>
      </c>
      <c r="F9" s="175" t="s">
        <v>18</v>
      </c>
      <c r="G9" s="173" t="s">
        <v>336</v>
      </c>
      <c r="H9" s="175" t="s">
        <v>19</v>
      </c>
      <c r="I9" s="175" t="s">
        <v>19</v>
      </c>
      <c r="J9" s="178" t="s">
        <v>426</v>
      </c>
    </row>
    <row r="10" spans="2:10" ht="32.25" customHeight="1">
      <c r="B10" s="135">
        <f t="shared" si="0"/>
        <v>8</v>
      </c>
      <c r="C10" s="136" t="s">
        <v>164</v>
      </c>
      <c r="D10" s="137" t="s">
        <v>59</v>
      </c>
      <c r="E10" s="138" t="s">
        <v>59</v>
      </c>
      <c r="F10" s="177" t="s">
        <v>58</v>
      </c>
      <c r="G10" s="173" t="s">
        <v>336</v>
      </c>
      <c r="H10" s="177" t="s">
        <v>59</v>
      </c>
      <c r="I10" s="177" t="s">
        <v>59</v>
      </c>
      <c r="J10" s="178"/>
    </row>
    <row r="11" spans="2:10" ht="32.25" customHeight="1">
      <c r="B11" s="127">
        <f t="shared" si="0"/>
        <v>9</v>
      </c>
      <c r="C11" s="128" t="s">
        <v>162</v>
      </c>
      <c r="D11" s="129" t="s">
        <v>21</v>
      </c>
      <c r="E11" s="130" t="s">
        <v>21</v>
      </c>
      <c r="F11" s="173" t="s">
        <v>20</v>
      </c>
      <c r="G11" s="173" t="s">
        <v>336</v>
      </c>
      <c r="H11" s="173" t="s">
        <v>21</v>
      </c>
      <c r="I11" s="173" t="s">
        <v>107</v>
      </c>
      <c r="J11" s="174"/>
    </row>
    <row r="12" spans="2:10" ht="32.25" customHeight="1">
      <c r="B12" s="131">
        <f t="shared" si="0"/>
        <v>10</v>
      </c>
      <c r="C12" s="132" t="s">
        <v>159</v>
      </c>
      <c r="D12" s="133" t="s">
        <v>107</v>
      </c>
      <c r="E12" s="134" t="s">
        <v>107</v>
      </c>
      <c r="F12" s="175" t="s">
        <v>23</v>
      </c>
      <c r="G12" s="173" t="s">
        <v>336</v>
      </c>
      <c r="H12" s="175" t="s">
        <v>107</v>
      </c>
      <c r="I12" s="175" t="s">
        <v>375</v>
      </c>
      <c r="J12" s="176"/>
    </row>
    <row r="13" spans="2:10" ht="32.25" customHeight="1">
      <c r="B13" s="131">
        <f t="shared" si="0"/>
        <v>11</v>
      </c>
      <c r="C13" s="132" t="s">
        <v>156</v>
      </c>
      <c r="D13" s="133" t="s">
        <v>209</v>
      </c>
      <c r="E13" s="134" t="s">
        <v>427</v>
      </c>
      <c r="F13" s="175" t="s">
        <v>22</v>
      </c>
      <c r="G13" s="173" t="s">
        <v>336</v>
      </c>
      <c r="H13" s="175" t="s">
        <v>206</v>
      </c>
      <c r="I13" s="175" t="s">
        <v>21</v>
      </c>
      <c r="J13" s="176"/>
    </row>
    <row r="14" spans="2:10" ht="32.25" customHeight="1">
      <c r="B14" s="135">
        <f t="shared" si="0"/>
        <v>12</v>
      </c>
      <c r="C14" s="139" t="s">
        <v>107</v>
      </c>
      <c r="D14" s="140" t="s">
        <v>169</v>
      </c>
      <c r="E14" s="138" t="s">
        <v>428</v>
      </c>
      <c r="F14" s="179" t="s">
        <v>60</v>
      </c>
      <c r="G14" s="173" t="s">
        <v>336</v>
      </c>
      <c r="H14" s="179" t="s">
        <v>93</v>
      </c>
      <c r="I14" s="179" t="s">
        <v>93</v>
      </c>
      <c r="J14" s="178" t="s">
        <v>429</v>
      </c>
    </row>
    <row r="15" spans="2:10" ht="32.25" customHeight="1">
      <c r="B15" s="127">
        <f t="shared" si="0"/>
        <v>13</v>
      </c>
      <c r="C15" s="141" t="s">
        <v>152</v>
      </c>
      <c r="D15" s="142" t="s">
        <v>208</v>
      </c>
      <c r="E15" s="130" t="s">
        <v>208</v>
      </c>
      <c r="F15" s="180" t="s">
        <v>32</v>
      </c>
      <c r="G15" s="173" t="s">
        <v>336</v>
      </c>
      <c r="H15" s="180" t="s">
        <v>208</v>
      </c>
      <c r="I15" s="180" t="s">
        <v>208</v>
      </c>
      <c r="J15" s="181"/>
    </row>
    <row r="16" spans="2:10" ht="32.25" customHeight="1">
      <c r="B16" s="127">
        <f t="shared" si="0"/>
        <v>14</v>
      </c>
      <c r="C16" s="143" t="s">
        <v>223</v>
      </c>
      <c r="D16" s="144" t="s">
        <v>224</v>
      </c>
      <c r="E16" s="130" t="s">
        <v>430</v>
      </c>
      <c r="F16" s="182" t="s">
        <v>61</v>
      </c>
      <c r="G16" s="173" t="s">
        <v>336</v>
      </c>
      <c r="H16" s="182" t="s">
        <v>431</v>
      </c>
      <c r="I16" s="182" t="s">
        <v>222</v>
      </c>
      <c r="J16" s="183"/>
    </row>
    <row r="17" spans="2:10" ht="32.25" customHeight="1">
      <c r="B17" s="131">
        <f t="shared" si="0"/>
        <v>15</v>
      </c>
      <c r="C17" s="132" t="s">
        <v>96</v>
      </c>
      <c r="D17" s="133" t="s">
        <v>130</v>
      </c>
      <c r="E17" s="134" t="s">
        <v>432</v>
      </c>
      <c r="F17" s="175" t="s">
        <v>78</v>
      </c>
      <c r="G17" s="173" t="s">
        <v>336</v>
      </c>
      <c r="H17" s="175" t="s">
        <v>222</v>
      </c>
      <c r="I17" s="175" t="s">
        <v>433</v>
      </c>
      <c r="J17" s="176"/>
    </row>
    <row r="18" spans="2:10" ht="32.25" customHeight="1">
      <c r="B18" s="131">
        <f t="shared" si="0"/>
        <v>16</v>
      </c>
      <c r="C18" s="145" t="s">
        <v>226</v>
      </c>
      <c r="D18" s="146" t="s">
        <v>227</v>
      </c>
      <c r="E18" s="134" t="s">
        <v>434</v>
      </c>
      <c r="F18" s="184" t="s">
        <v>63</v>
      </c>
      <c r="G18" s="173" t="s">
        <v>336</v>
      </c>
      <c r="H18" s="184" t="s">
        <v>435</v>
      </c>
      <c r="I18" s="184" t="s">
        <v>212</v>
      </c>
      <c r="J18" s="185"/>
    </row>
    <row r="19" spans="2:10" ht="32.25" customHeight="1">
      <c r="B19" s="135">
        <f t="shared" si="0"/>
        <v>17</v>
      </c>
      <c r="C19" s="139" t="s">
        <v>293</v>
      </c>
      <c r="D19" s="140" t="s">
        <v>228</v>
      </c>
      <c r="E19" s="138" t="s">
        <v>436</v>
      </c>
      <c r="F19" s="179" t="s">
        <v>149</v>
      </c>
      <c r="G19" s="173" t="s">
        <v>336</v>
      </c>
      <c r="H19" s="179" t="s">
        <v>214</v>
      </c>
      <c r="I19" s="179" t="s">
        <v>437</v>
      </c>
      <c r="J19" s="186"/>
    </row>
    <row r="20" spans="2:10" ht="32.25" customHeight="1">
      <c r="B20" s="127">
        <f t="shared" si="0"/>
        <v>18</v>
      </c>
      <c r="C20" s="143" t="s">
        <v>303</v>
      </c>
      <c r="D20" s="144" t="s">
        <v>106</v>
      </c>
      <c r="E20" s="130" t="s">
        <v>26</v>
      </c>
      <c r="F20" s="182" t="s">
        <v>25</v>
      </c>
      <c r="G20" s="173" t="s">
        <v>336</v>
      </c>
      <c r="H20" s="182" t="s">
        <v>26</v>
      </c>
      <c r="I20" s="182" t="s">
        <v>106</v>
      </c>
      <c r="J20" s="183"/>
    </row>
    <row r="21" spans="2:10" ht="32.25" customHeight="1">
      <c r="B21" s="131">
        <f t="shared" si="0"/>
        <v>19</v>
      </c>
      <c r="C21" s="132" t="s">
        <v>109</v>
      </c>
      <c r="D21" s="133" t="s">
        <v>134</v>
      </c>
      <c r="E21" s="134" t="s">
        <v>438</v>
      </c>
      <c r="F21" s="175" t="s">
        <v>28</v>
      </c>
      <c r="G21" s="173" t="s">
        <v>336</v>
      </c>
      <c r="H21" s="175" t="s">
        <v>134</v>
      </c>
      <c r="I21" s="175" t="s">
        <v>376</v>
      </c>
      <c r="J21" s="176"/>
    </row>
    <row r="22" spans="2:10" ht="32.25" customHeight="1">
      <c r="B22" s="131">
        <f t="shared" si="0"/>
        <v>20</v>
      </c>
      <c r="C22" s="145" t="s">
        <v>208</v>
      </c>
      <c r="D22" s="146" t="s">
        <v>152</v>
      </c>
      <c r="E22" s="134" t="s">
        <v>439</v>
      </c>
      <c r="F22" s="184" t="s">
        <v>27</v>
      </c>
      <c r="G22" s="173" t="s">
        <v>336</v>
      </c>
      <c r="H22" s="184" t="s">
        <v>440</v>
      </c>
      <c r="I22" s="184" t="s">
        <v>152</v>
      </c>
      <c r="J22" s="185"/>
    </row>
    <row r="23" spans="2:10" ht="32.25" customHeight="1">
      <c r="B23" s="135">
        <f t="shared" si="0"/>
        <v>21</v>
      </c>
      <c r="C23" s="139" t="s">
        <v>19</v>
      </c>
      <c r="D23" s="140" t="s">
        <v>167</v>
      </c>
      <c r="E23" s="138" t="s">
        <v>167</v>
      </c>
      <c r="F23" s="179" t="s">
        <v>30</v>
      </c>
      <c r="G23" s="173" t="s">
        <v>336</v>
      </c>
      <c r="H23" s="179" t="s">
        <v>167</v>
      </c>
      <c r="I23" s="179" t="s">
        <v>167</v>
      </c>
      <c r="J23" s="186"/>
    </row>
    <row r="24" spans="2:10" ht="32.25" customHeight="1">
      <c r="B24" s="147">
        <f t="shared" si="0"/>
        <v>22</v>
      </c>
      <c r="C24" s="128" t="s">
        <v>304</v>
      </c>
      <c r="D24" s="129" t="s">
        <v>174</v>
      </c>
      <c r="E24" s="148" t="s">
        <v>174</v>
      </c>
      <c r="F24" s="173" t="s">
        <v>38</v>
      </c>
      <c r="G24" s="173" t="s">
        <v>337</v>
      </c>
      <c r="H24" s="173" t="s">
        <v>174</v>
      </c>
      <c r="I24" s="173" t="s">
        <v>174</v>
      </c>
      <c r="J24" s="174"/>
    </row>
    <row r="25" spans="2:10" ht="32.25" customHeight="1">
      <c r="B25" s="149">
        <f t="shared" si="0"/>
        <v>23</v>
      </c>
      <c r="C25" s="132" t="s">
        <v>147</v>
      </c>
      <c r="D25" s="133" t="s">
        <v>314</v>
      </c>
      <c r="E25" s="150" t="s">
        <v>441</v>
      </c>
      <c r="F25" s="175" t="s">
        <v>81</v>
      </c>
      <c r="G25" s="173" t="s">
        <v>337</v>
      </c>
      <c r="H25" s="175" t="s">
        <v>144</v>
      </c>
      <c r="I25" s="175" t="s">
        <v>144</v>
      </c>
      <c r="J25" s="176"/>
    </row>
    <row r="26" spans="2:10" ht="32.25" customHeight="1">
      <c r="B26" s="151">
        <f t="shared" si="0"/>
        <v>24</v>
      </c>
      <c r="C26" s="132" t="s">
        <v>113</v>
      </c>
      <c r="D26" s="133" t="s">
        <v>146</v>
      </c>
      <c r="E26" s="150" t="s">
        <v>146</v>
      </c>
      <c r="F26" s="175" t="s">
        <v>34</v>
      </c>
      <c r="G26" s="173" t="s">
        <v>337</v>
      </c>
      <c r="H26" s="175" t="s">
        <v>146</v>
      </c>
      <c r="I26" s="175" t="s">
        <v>146</v>
      </c>
      <c r="J26" s="176"/>
    </row>
    <row r="27" spans="2:10" ht="32.25" customHeight="1">
      <c r="B27" s="151">
        <f t="shared" si="0"/>
        <v>25</v>
      </c>
      <c r="C27" s="132" t="s">
        <v>135</v>
      </c>
      <c r="D27" s="133" t="s">
        <v>143</v>
      </c>
      <c r="E27" s="150" t="s">
        <v>442</v>
      </c>
      <c r="F27" s="175" t="s">
        <v>79</v>
      </c>
      <c r="G27" s="173" t="s">
        <v>337</v>
      </c>
      <c r="H27" s="175" t="s">
        <v>250</v>
      </c>
      <c r="I27" s="175" t="s">
        <v>250</v>
      </c>
      <c r="J27" s="176"/>
    </row>
    <row r="28" spans="2:10" ht="32.25" customHeight="1">
      <c r="B28" s="151">
        <f t="shared" si="0"/>
        <v>26</v>
      </c>
      <c r="C28" s="152" t="s">
        <v>134</v>
      </c>
      <c r="D28" s="153" t="s">
        <v>113</v>
      </c>
      <c r="E28" s="150" t="s">
        <v>113</v>
      </c>
      <c r="F28" s="175" t="s">
        <v>36</v>
      </c>
      <c r="G28" s="173" t="s">
        <v>337</v>
      </c>
      <c r="H28" s="175" t="s">
        <v>113</v>
      </c>
      <c r="I28" s="175" t="s">
        <v>113</v>
      </c>
      <c r="J28" s="176"/>
    </row>
    <row r="29" spans="2:10" ht="32.25" customHeight="1">
      <c r="B29" s="151">
        <f t="shared" si="0"/>
        <v>27</v>
      </c>
      <c r="C29" s="132" t="s">
        <v>130</v>
      </c>
      <c r="D29" s="133" t="s">
        <v>135</v>
      </c>
      <c r="E29" s="150" t="s">
        <v>443</v>
      </c>
      <c r="F29" s="175" t="s">
        <v>80</v>
      </c>
      <c r="G29" s="173" t="s">
        <v>337</v>
      </c>
      <c r="H29" s="175" t="s">
        <v>254</v>
      </c>
      <c r="I29" s="175" t="s">
        <v>254</v>
      </c>
      <c r="J29" s="176"/>
    </row>
    <row r="30" spans="2:10" ht="32.25" customHeight="1">
      <c r="B30" s="149">
        <f t="shared" si="0"/>
        <v>28</v>
      </c>
      <c r="C30" s="154" t="s">
        <v>123</v>
      </c>
      <c r="D30" s="155" t="s">
        <v>162</v>
      </c>
      <c r="E30" s="156" t="s">
        <v>162</v>
      </c>
      <c r="F30" s="187" t="s">
        <v>40</v>
      </c>
      <c r="G30" s="173" t="s">
        <v>337</v>
      </c>
      <c r="H30" s="187" t="s">
        <v>162</v>
      </c>
      <c r="I30" s="187" t="s">
        <v>162</v>
      </c>
      <c r="J30" s="188"/>
    </row>
    <row r="31" spans="2:10" ht="32.25" customHeight="1">
      <c r="B31" s="149">
        <f t="shared" si="0"/>
        <v>29</v>
      </c>
      <c r="C31" s="132" t="s">
        <v>122</v>
      </c>
      <c r="D31" s="133" t="s">
        <v>159</v>
      </c>
      <c r="E31" s="150" t="s">
        <v>444</v>
      </c>
      <c r="F31" s="175" t="s">
        <v>83</v>
      </c>
      <c r="G31" s="173" t="s">
        <v>337</v>
      </c>
      <c r="H31" s="175" t="s">
        <v>141</v>
      </c>
      <c r="I31" s="175" t="s">
        <v>141</v>
      </c>
      <c r="J31" s="176"/>
    </row>
    <row r="32" spans="2:10" ht="32.25" customHeight="1">
      <c r="B32" s="149">
        <f t="shared" si="0"/>
        <v>30</v>
      </c>
      <c r="C32" s="132" t="s">
        <v>21</v>
      </c>
      <c r="D32" s="133" t="s">
        <v>42</v>
      </c>
      <c r="E32" s="150" t="s">
        <v>338</v>
      </c>
      <c r="F32" s="175" t="s">
        <v>233</v>
      </c>
      <c r="G32" s="173" t="s">
        <v>337</v>
      </c>
      <c r="H32" s="175" t="s">
        <v>42</v>
      </c>
      <c r="I32" s="175" t="s">
        <v>378</v>
      </c>
      <c r="J32" s="176"/>
    </row>
    <row r="33" spans="2:10" ht="32.25" customHeight="1">
      <c r="B33" s="149">
        <f t="shared" si="0"/>
        <v>31</v>
      </c>
      <c r="C33" s="132" t="s">
        <v>146</v>
      </c>
      <c r="D33" s="133" t="s">
        <v>139</v>
      </c>
      <c r="E33" s="150" t="s">
        <v>445</v>
      </c>
      <c r="F33" s="175" t="s">
        <v>44</v>
      </c>
      <c r="G33" s="173" t="s">
        <v>337</v>
      </c>
      <c r="H33" s="175" t="s">
        <v>171</v>
      </c>
      <c r="I33" s="175" t="s">
        <v>171</v>
      </c>
      <c r="J33" s="176"/>
    </row>
    <row r="34" spans="2:10" ht="32.25" customHeight="1">
      <c r="B34" s="149">
        <f t="shared" si="0"/>
        <v>32</v>
      </c>
      <c r="C34" s="132" t="s">
        <v>143</v>
      </c>
      <c r="D34" s="133" t="s">
        <v>282</v>
      </c>
      <c r="E34" s="150" t="s">
        <v>446</v>
      </c>
      <c r="F34" s="175" t="s">
        <v>84</v>
      </c>
      <c r="G34" s="173" t="s">
        <v>337</v>
      </c>
      <c r="H34" s="175" t="s">
        <v>142</v>
      </c>
      <c r="I34" s="175" t="s">
        <v>377</v>
      </c>
      <c r="J34" s="176"/>
    </row>
    <row r="35" spans="2:10" ht="32.25" customHeight="1">
      <c r="B35" s="149">
        <f t="shared" si="0"/>
        <v>33</v>
      </c>
      <c r="C35" s="154" t="s">
        <v>137</v>
      </c>
      <c r="D35" s="155" t="s">
        <v>303</v>
      </c>
      <c r="E35" s="150" t="s">
        <v>163</v>
      </c>
      <c r="F35" s="187" t="s">
        <v>128</v>
      </c>
      <c r="G35" s="173" t="s">
        <v>337</v>
      </c>
      <c r="H35" s="187" t="s">
        <v>163</v>
      </c>
      <c r="I35" s="187" t="s">
        <v>163</v>
      </c>
      <c r="J35" s="188"/>
    </row>
    <row r="36" spans="2:10" ht="32.25" customHeight="1">
      <c r="B36" s="149">
        <f t="shared" si="0"/>
        <v>34</v>
      </c>
      <c r="C36" s="132" t="s">
        <v>127</v>
      </c>
      <c r="D36" s="133" t="s">
        <v>223</v>
      </c>
      <c r="E36" s="150" t="s">
        <v>447</v>
      </c>
      <c r="F36" s="175" t="s">
        <v>82</v>
      </c>
      <c r="G36" s="173" t="s">
        <v>337</v>
      </c>
      <c r="H36" s="175" t="s">
        <v>140</v>
      </c>
      <c r="I36" s="175" t="s">
        <v>140</v>
      </c>
      <c r="J36" s="176"/>
    </row>
    <row r="37" spans="2:10" ht="32.25" customHeight="1">
      <c r="B37" s="149">
        <f t="shared" si="0"/>
        <v>35</v>
      </c>
      <c r="C37" s="132" t="s">
        <v>59</v>
      </c>
      <c r="D37" s="133" t="s">
        <v>164</v>
      </c>
      <c r="E37" s="150" t="s">
        <v>160</v>
      </c>
      <c r="F37" s="175" t="s">
        <v>48</v>
      </c>
      <c r="G37" s="173" t="s">
        <v>337</v>
      </c>
      <c r="H37" s="175" t="s">
        <v>160</v>
      </c>
      <c r="I37" s="175" t="s">
        <v>160</v>
      </c>
      <c r="J37" s="176"/>
    </row>
    <row r="38" spans="2:10" ht="32.25" customHeight="1">
      <c r="B38" s="157">
        <f t="shared" si="0"/>
        <v>36</v>
      </c>
      <c r="C38" s="136" t="s">
        <v>125</v>
      </c>
      <c r="D38" s="137" t="s">
        <v>291</v>
      </c>
      <c r="E38" s="158" t="s">
        <v>448</v>
      </c>
      <c r="F38" s="177" t="s">
        <v>85</v>
      </c>
      <c r="G38" s="173" t="s">
        <v>337</v>
      </c>
      <c r="H38" s="177" t="s">
        <v>138</v>
      </c>
      <c r="I38" s="177" t="s">
        <v>138</v>
      </c>
      <c r="J38" s="178"/>
    </row>
    <row r="39" spans="2:10" ht="32.25" customHeight="1">
      <c r="B39" s="151">
        <f t="shared" si="0"/>
        <v>37</v>
      </c>
      <c r="C39" s="132" t="s">
        <v>114</v>
      </c>
      <c r="D39" s="133" t="s">
        <v>284</v>
      </c>
      <c r="E39" s="150" t="s">
        <v>449</v>
      </c>
      <c r="F39" s="175" t="s">
        <v>305</v>
      </c>
      <c r="G39" s="173" t="s">
        <v>337</v>
      </c>
      <c r="H39" s="175" t="s">
        <v>255</v>
      </c>
      <c r="I39" s="189" t="s">
        <v>255</v>
      </c>
      <c r="J39" s="190"/>
    </row>
    <row r="40" spans="2:10" ht="32.25" customHeight="1">
      <c r="B40" s="151">
        <f t="shared" si="0"/>
        <v>38</v>
      </c>
      <c r="C40" s="132" t="s">
        <v>257</v>
      </c>
      <c r="D40" s="133" t="s">
        <v>292</v>
      </c>
      <c r="E40" s="150" t="s">
        <v>117</v>
      </c>
      <c r="F40" s="175" t="s">
        <v>69</v>
      </c>
      <c r="G40" s="173" t="s">
        <v>337</v>
      </c>
      <c r="H40" s="175" t="s">
        <v>117</v>
      </c>
      <c r="I40" s="175" t="s">
        <v>117</v>
      </c>
      <c r="J40" s="176"/>
    </row>
    <row r="41" spans="2:10" ht="32.25" customHeight="1">
      <c r="B41" s="151">
        <f t="shared" si="0"/>
        <v>39</v>
      </c>
      <c r="C41" s="132" t="s">
        <v>139</v>
      </c>
      <c r="D41" s="133" t="s">
        <v>108</v>
      </c>
      <c r="E41" s="150" t="s">
        <v>450</v>
      </c>
      <c r="F41" s="175" t="s">
        <v>86</v>
      </c>
      <c r="G41" s="173" t="s">
        <v>337</v>
      </c>
      <c r="H41" s="175" t="s">
        <v>116</v>
      </c>
      <c r="I41" s="175" t="s">
        <v>116</v>
      </c>
      <c r="J41" s="176"/>
    </row>
    <row r="42" spans="2:10" ht="32.25" customHeight="1">
      <c r="B42" s="151">
        <f t="shared" si="0"/>
        <v>40</v>
      </c>
      <c r="C42" s="132" t="s">
        <v>95</v>
      </c>
      <c r="D42" s="133" t="s">
        <v>257</v>
      </c>
      <c r="E42" s="150" t="s">
        <v>95</v>
      </c>
      <c r="F42" s="175" t="s">
        <v>97</v>
      </c>
      <c r="G42" s="173" t="s">
        <v>337</v>
      </c>
      <c r="H42" s="175" t="s">
        <v>95</v>
      </c>
      <c r="I42" s="175" t="s">
        <v>95</v>
      </c>
      <c r="J42" s="178" t="s">
        <v>451</v>
      </c>
    </row>
    <row r="43" spans="2:10" ht="32.25" customHeight="1">
      <c r="B43" s="151">
        <f t="shared" si="0"/>
        <v>41</v>
      </c>
      <c r="C43" s="132" t="s">
        <v>121</v>
      </c>
      <c r="D43" s="133" t="s">
        <v>316</v>
      </c>
      <c r="E43" s="150" t="s">
        <v>105</v>
      </c>
      <c r="F43" s="175" t="s">
        <v>67</v>
      </c>
      <c r="G43" s="173" t="s">
        <v>337</v>
      </c>
      <c r="H43" s="175" t="s">
        <v>105</v>
      </c>
      <c r="I43" s="175" t="s">
        <v>105</v>
      </c>
      <c r="J43" s="176"/>
    </row>
    <row r="44" spans="2:10" ht="32.25" customHeight="1">
      <c r="B44" s="151">
        <f t="shared" si="0"/>
        <v>42</v>
      </c>
      <c r="C44" s="132" t="s">
        <v>119</v>
      </c>
      <c r="D44" s="133" t="s">
        <v>293</v>
      </c>
      <c r="E44" s="150" t="s">
        <v>19</v>
      </c>
      <c r="F44" s="175" t="s">
        <v>52</v>
      </c>
      <c r="G44" s="173" t="s">
        <v>337</v>
      </c>
      <c r="H44" s="175" t="s">
        <v>19</v>
      </c>
      <c r="I44" s="175" t="s">
        <v>19</v>
      </c>
      <c r="J44" s="178" t="s">
        <v>452</v>
      </c>
    </row>
    <row r="45" spans="2:10" ht="32.25" customHeight="1">
      <c r="B45" s="151">
        <f t="shared" si="0"/>
        <v>43</v>
      </c>
      <c r="C45" s="132" t="s">
        <v>118</v>
      </c>
      <c r="D45" s="133" t="s">
        <v>94</v>
      </c>
      <c r="E45" s="150" t="s">
        <v>453</v>
      </c>
      <c r="F45" s="175" t="s">
        <v>65</v>
      </c>
      <c r="G45" s="173" t="s">
        <v>337</v>
      </c>
      <c r="H45" s="175" t="s">
        <v>101</v>
      </c>
      <c r="I45" s="175" t="s">
        <v>101</v>
      </c>
      <c r="J45" s="176"/>
    </row>
    <row r="46" spans="2:10" ht="32.25" customHeight="1">
      <c r="B46" s="151">
        <f t="shared" si="0"/>
        <v>44</v>
      </c>
      <c r="C46" s="159" t="s">
        <v>42</v>
      </c>
      <c r="D46" s="133" t="s">
        <v>226</v>
      </c>
      <c r="E46" s="150" t="s">
        <v>454</v>
      </c>
      <c r="F46" s="175" t="s">
        <v>71</v>
      </c>
      <c r="G46" s="173" t="s">
        <v>337</v>
      </c>
      <c r="H46" s="175" t="s">
        <v>100</v>
      </c>
      <c r="I46" s="175" t="s">
        <v>100</v>
      </c>
      <c r="J46" s="176"/>
    </row>
    <row r="47" spans="2:10" ht="32.25" customHeight="1">
      <c r="B47" s="151">
        <f t="shared" si="0"/>
        <v>45</v>
      </c>
      <c r="C47" s="132" t="s">
        <v>115</v>
      </c>
      <c r="D47" s="133" t="s">
        <v>283</v>
      </c>
      <c r="E47" s="150" t="s">
        <v>428</v>
      </c>
      <c r="F47" s="175" t="s">
        <v>50</v>
      </c>
      <c r="G47" s="173" t="s">
        <v>337</v>
      </c>
      <c r="H47" s="175" t="s">
        <v>93</v>
      </c>
      <c r="I47" s="175" t="s">
        <v>93</v>
      </c>
      <c r="J47" s="178" t="s">
        <v>455</v>
      </c>
    </row>
    <row r="48" spans="2:10" ht="32.25" customHeight="1">
      <c r="B48" s="151">
        <f t="shared" si="0"/>
        <v>46</v>
      </c>
      <c r="C48" s="132"/>
      <c r="D48" s="133"/>
      <c r="E48" s="150" t="s">
        <v>363</v>
      </c>
      <c r="F48" s="175" t="s">
        <v>456</v>
      </c>
      <c r="G48" s="173" t="s">
        <v>337</v>
      </c>
      <c r="H48" s="175" t="s">
        <v>363</v>
      </c>
      <c r="I48" s="175" t="s">
        <v>457</v>
      </c>
      <c r="J48" s="178"/>
    </row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  <row r="58" ht="34.5" customHeight="1"/>
  </sheetData>
  <phoneticPr fontId="7" type="noConversion"/>
  <conditionalFormatting sqref="C3:J48">
    <cfRule type="cellIs" dxfId="0" priority="1" operator="equal">
      <formula>CHAR(32)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2211-C250-4379-AEC9-1ACF2AAEC1C2}">
  <sheetPr>
    <tabColor theme="9" tint="-0.249977111117893"/>
  </sheetPr>
  <dimension ref="A1:M19"/>
  <sheetViews>
    <sheetView workbookViewId="0"/>
  </sheetViews>
  <sheetFormatPr defaultRowHeight="30"/>
  <cols>
    <col min="1" max="1" width="8.09765625" style="163" customWidth="1"/>
    <col min="2" max="4" width="16.19921875" style="163" customWidth="1"/>
    <col min="5" max="5" width="30.59765625" style="163" customWidth="1"/>
    <col min="6" max="6" width="16.19921875" style="163" customWidth="1"/>
    <col min="7" max="7" width="20.8984375" style="163" customWidth="1"/>
    <col min="8" max="8" width="7.3984375" style="163" bestFit="1" customWidth="1"/>
    <col min="9" max="9" width="7.09765625" style="163" customWidth="1"/>
    <col min="10" max="12" width="20.59765625" style="163" customWidth="1"/>
    <col min="13" max="13" width="30.19921875" style="163" bestFit="1" customWidth="1"/>
    <col min="14" max="15" width="6.3984375" style="163" customWidth="1"/>
    <col min="16" max="16384" width="8.796875" style="163"/>
  </cols>
  <sheetData>
    <row r="1" spans="1:13">
      <c r="A1" s="161" t="s">
        <v>458</v>
      </c>
      <c r="B1" s="162" t="s">
        <v>176</v>
      </c>
      <c r="C1" s="162" t="s">
        <v>421</v>
      </c>
      <c r="D1" s="162" t="s">
        <v>2</v>
      </c>
      <c r="E1" s="162" t="s">
        <v>459</v>
      </c>
      <c r="F1" s="162" t="s">
        <v>460</v>
      </c>
      <c r="H1" s="161" t="s">
        <v>458</v>
      </c>
      <c r="I1" s="162" t="s">
        <v>389</v>
      </c>
      <c r="J1" s="162" t="s">
        <v>176</v>
      </c>
      <c r="K1" s="162" t="s">
        <v>421</v>
      </c>
      <c r="L1" s="162" t="s">
        <v>2</v>
      </c>
      <c r="M1" s="162" t="s">
        <v>422</v>
      </c>
    </row>
    <row r="2" spans="1:13" ht="36" customHeight="1">
      <c r="A2" s="163">
        <v>1</v>
      </c>
      <c r="B2" s="163" t="s">
        <v>171</v>
      </c>
      <c r="C2" s="163" t="s">
        <v>171</v>
      </c>
      <c r="D2" s="163" t="s">
        <v>44</v>
      </c>
      <c r="E2" s="163" t="s">
        <v>461</v>
      </c>
      <c r="F2" s="163" t="s">
        <v>139</v>
      </c>
      <c r="H2" s="163">
        <v>1</v>
      </c>
      <c r="I2" s="163" t="s">
        <v>395</v>
      </c>
      <c r="J2" s="163" t="s">
        <v>401</v>
      </c>
      <c r="K2" s="163" t="s">
        <v>462</v>
      </c>
      <c r="L2" s="164" t="s">
        <v>463</v>
      </c>
    </row>
    <row r="3" spans="1:13" ht="36" customHeight="1">
      <c r="A3" s="163">
        <v>2</v>
      </c>
      <c r="B3" s="163" t="s">
        <v>142</v>
      </c>
      <c r="C3" s="163" t="s">
        <v>464</v>
      </c>
      <c r="D3" s="163" t="s">
        <v>84</v>
      </c>
      <c r="E3" s="163" t="s">
        <v>461</v>
      </c>
      <c r="F3" s="163" t="s">
        <v>465</v>
      </c>
      <c r="H3" s="163">
        <v>2</v>
      </c>
      <c r="I3" s="163" t="s">
        <v>406</v>
      </c>
      <c r="J3" s="163" t="s">
        <v>407</v>
      </c>
      <c r="K3" s="163" t="s">
        <v>466</v>
      </c>
      <c r="L3" s="163" t="s">
        <v>467</v>
      </c>
    </row>
    <row r="4" spans="1:13" ht="36" customHeight="1">
      <c r="A4" s="163">
        <v>3</v>
      </c>
      <c r="B4" s="163" t="s">
        <v>371</v>
      </c>
      <c r="C4" s="163" t="s">
        <v>371</v>
      </c>
      <c r="D4" s="163" t="s">
        <v>165</v>
      </c>
      <c r="E4" s="163" t="s">
        <v>461</v>
      </c>
      <c r="F4" s="163" t="s">
        <v>468</v>
      </c>
      <c r="H4" s="163">
        <v>3</v>
      </c>
      <c r="I4" s="165" t="s">
        <v>469</v>
      </c>
      <c r="J4" s="165" t="s">
        <v>470</v>
      </c>
      <c r="K4" s="165" t="s">
        <v>470</v>
      </c>
      <c r="L4" s="166" t="s">
        <v>471</v>
      </c>
    </row>
    <row r="5" spans="1:13" ht="36" customHeight="1">
      <c r="A5" s="163">
        <v>4</v>
      </c>
      <c r="B5" s="163" t="s">
        <v>372</v>
      </c>
      <c r="C5" s="163" t="s">
        <v>464</v>
      </c>
      <c r="D5" s="163" t="s">
        <v>472</v>
      </c>
      <c r="E5" s="163" t="s">
        <v>461</v>
      </c>
      <c r="F5" s="163" t="s">
        <v>473</v>
      </c>
      <c r="H5" s="163">
        <v>4</v>
      </c>
      <c r="I5" s="167" t="s">
        <v>474</v>
      </c>
      <c r="J5" s="165" t="s">
        <v>475</v>
      </c>
      <c r="K5" s="165" t="s">
        <v>476</v>
      </c>
      <c r="L5" s="166" t="s">
        <v>477</v>
      </c>
    </row>
    <row r="6" spans="1:13" ht="36" customHeight="1">
      <c r="A6" s="163">
        <v>5</v>
      </c>
      <c r="B6" s="163" t="s">
        <v>116</v>
      </c>
      <c r="C6" s="163" t="s">
        <v>478</v>
      </c>
      <c r="D6" s="163" t="s">
        <v>86</v>
      </c>
      <c r="E6" s="163" t="s">
        <v>479</v>
      </c>
      <c r="F6" s="163" t="s">
        <v>480</v>
      </c>
      <c r="H6" s="163">
        <v>5</v>
      </c>
      <c r="I6" s="167" t="s">
        <v>417</v>
      </c>
      <c r="J6" s="165" t="s">
        <v>481</v>
      </c>
      <c r="K6" s="165" t="s">
        <v>482</v>
      </c>
      <c r="L6" s="166" t="s">
        <v>483</v>
      </c>
    </row>
    <row r="7" spans="1:13" ht="36" customHeight="1">
      <c r="A7" s="163">
        <v>6</v>
      </c>
      <c r="B7" s="163" t="s">
        <v>100</v>
      </c>
      <c r="C7" s="163" t="s">
        <v>100</v>
      </c>
      <c r="D7" s="163" t="s">
        <v>71</v>
      </c>
      <c r="E7" s="163" t="s">
        <v>479</v>
      </c>
      <c r="F7" s="168" t="s">
        <v>484</v>
      </c>
      <c r="H7" s="163">
        <v>6</v>
      </c>
      <c r="I7" s="163" t="s">
        <v>411</v>
      </c>
      <c r="J7" s="163" t="s">
        <v>412</v>
      </c>
      <c r="K7" s="163" t="s">
        <v>485</v>
      </c>
      <c r="L7" s="164" t="s">
        <v>486</v>
      </c>
    </row>
    <row r="8" spans="1:13">
      <c r="A8" s="163">
        <v>7</v>
      </c>
      <c r="B8" s="163" t="s">
        <v>369</v>
      </c>
      <c r="C8" s="163" t="s">
        <v>487</v>
      </c>
      <c r="D8" s="163" t="s">
        <v>488</v>
      </c>
      <c r="E8" s="163" t="s">
        <v>479</v>
      </c>
      <c r="F8" s="163" t="s">
        <v>489</v>
      </c>
      <c r="H8" s="163">
        <v>7</v>
      </c>
      <c r="I8" s="165" t="s">
        <v>391</v>
      </c>
      <c r="J8" s="165" t="s">
        <v>408</v>
      </c>
      <c r="K8" s="165" t="s">
        <v>490</v>
      </c>
      <c r="L8" s="165" t="s">
        <v>491</v>
      </c>
    </row>
    <row r="9" spans="1:13">
      <c r="A9" s="163">
        <v>8</v>
      </c>
      <c r="B9" s="163" t="s">
        <v>370</v>
      </c>
      <c r="C9" s="163" t="s">
        <v>492</v>
      </c>
      <c r="D9" s="163" t="s">
        <v>493</v>
      </c>
      <c r="E9" s="163" t="s">
        <v>479</v>
      </c>
      <c r="F9" s="163" t="s">
        <v>494</v>
      </c>
      <c r="H9" s="163">
        <v>8</v>
      </c>
      <c r="I9" s="163" t="s">
        <v>390</v>
      </c>
      <c r="J9" s="163" t="s">
        <v>495</v>
      </c>
      <c r="K9" s="163" t="s">
        <v>496</v>
      </c>
      <c r="L9" s="163" t="s">
        <v>497</v>
      </c>
    </row>
    <row r="10" spans="1:13" ht="36" customHeight="1">
      <c r="A10" s="163">
        <v>9</v>
      </c>
      <c r="B10" s="169" t="s">
        <v>365</v>
      </c>
      <c r="C10" s="169" t="s">
        <v>365</v>
      </c>
      <c r="D10" s="169" t="s">
        <v>339</v>
      </c>
      <c r="E10" s="169" t="s">
        <v>479</v>
      </c>
      <c r="F10" s="169" t="s">
        <v>498</v>
      </c>
      <c r="H10" s="163">
        <v>9</v>
      </c>
      <c r="I10" s="169"/>
      <c r="J10" s="169"/>
      <c r="K10" s="169"/>
      <c r="L10" s="170"/>
      <c r="M10" s="170" t="s">
        <v>499</v>
      </c>
    </row>
    <row r="11" spans="1:13">
      <c r="A11" s="163">
        <v>10</v>
      </c>
      <c r="B11" s="163" t="s">
        <v>131</v>
      </c>
      <c r="C11" s="163" t="s">
        <v>500</v>
      </c>
      <c r="D11" s="163" t="s">
        <v>132</v>
      </c>
      <c r="E11" s="163" t="s">
        <v>479</v>
      </c>
      <c r="F11" s="163" t="s">
        <v>501</v>
      </c>
      <c r="H11" s="163">
        <v>10</v>
      </c>
      <c r="I11" s="165" t="s">
        <v>413</v>
      </c>
      <c r="J11" s="165" t="s">
        <v>502</v>
      </c>
      <c r="K11" s="165" t="s">
        <v>503</v>
      </c>
      <c r="L11" s="165" t="s">
        <v>132</v>
      </c>
    </row>
    <row r="12" spans="1:13">
      <c r="A12" s="163">
        <v>11</v>
      </c>
      <c r="B12" s="169" t="s">
        <v>367</v>
      </c>
      <c r="C12" s="169" t="s">
        <v>367</v>
      </c>
      <c r="D12" s="169" t="s">
        <v>504</v>
      </c>
      <c r="E12" s="169" t="s">
        <v>479</v>
      </c>
      <c r="F12" s="169" t="s">
        <v>505</v>
      </c>
      <c r="H12" s="163">
        <v>10</v>
      </c>
      <c r="I12" s="165" t="s">
        <v>416</v>
      </c>
      <c r="J12" s="165" t="s">
        <v>506</v>
      </c>
      <c r="K12" s="165" t="s">
        <v>507</v>
      </c>
      <c r="L12" s="165" t="s">
        <v>508</v>
      </c>
    </row>
    <row r="13" spans="1:13" ht="36" customHeight="1">
      <c r="A13" s="163">
        <v>12</v>
      </c>
      <c r="B13" s="163" t="s">
        <v>98</v>
      </c>
      <c r="C13" s="163" t="s">
        <v>98</v>
      </c>
      <c r="D13" s="163" t="s">
        <v>99</v>
      </c>
      <c r="E13" s="163" t="s">
        <v>479</v>
      </c>
      <c r="F13" s="168" t="s">
        <v>509</v>
      </c>
      <c r="H13" s="163">
        <v>11</v>
      </c>
      <c r="I13" s="169"/>
      <c r="J13" s="169"/>
      <c r="K13" s="169"/>
      <c r="L13" s="170"/>
      <c r="M13" s="170" t="s">
        <v>499</v>
      </c>
    </row>
    <row r="14" spans="1:13" ht="36" customHeight="1">
      <c r="A14" s="163">
        <v>13</v>
      </c>
      <c r="B14" s="163" t="s">
        <v>366</v>
      </c>
      <c r="C14" s="163" t="s">
        <v>510</v>
      </c>
      <c r="D14" s="163" t="s">
        <v>511</v>
      </c>
      <c r="E14" s="163" t="s">
        <v>479</v>
      </c>
      <c r="F14" s="163" t="s">
        <v>512</v>
      </c>
      <c r="H14" s="163">
        <v>12</v>
      </c>
      <c r="I14" s="163" t="s">
        <v>402</v>
      </c>
      <c r="J14" s="163" t="s">
        <v>403</v>
      </c>
      <c r="K14" s="163" t="s">
        <v>400</v>
      </c>
      <c r="L14" s="171" t="s">
        <v>513</v>
      </c>
    </row>
    <row r="15" spans="1:13">
      <c r="A15" s="163">
        <v>14</v>
      </c>
      <c r="B15" s="163" t="s">
        <v>42</v>
      </c>
      <c r="C15" s="163" t="s">
        <v>378</v>
      </c>
      <c r="D15" s="163" t="s">
        <v>233</v>
      </c>
      <c r="E15" s="163" t="s">
        <v>514</v>
      </c>
      <c r="H15" s="163">
        <v>13</v>
      </c>
      <c r="I15" s="163" t="s">
        <v>398</v>
      </c>
      <c r="J15" s="163" t="s">
        <v>399</v>
      </c>
      <c r="K15" s="163" t="s">
        <v>515</v>
      </c>
      <c r="L15" s="163" t="s">
        <v>516</v>
      </c>
    </row>
    <row r="16" spans="1:13">
      <c r="A16" s="163">
        <v>15</v>
      </c>
      <c r="B16" s="163" t="s">
        <v>368</v>
      </c>
      <c r="C16" s="163" t="s">
        <v>517</v>
      </c>
      <c r="D16" s="163" t="s">
        <v>518</v>
      </c>
      <c r="E16" s="163" t="s">
        <v>514</v>
      </c>
      <c r="H16" s="163">
        <v>14</v>
      </c>
      <c r="I16" s="163" t="s">
        <v>395</v>
      </c>
      <c r="J16" s="163" t="s">
        <v>397</v>
      </c>
      <c r="K16" s="163" t="s">
        <v>519</v>
      </c>
      <c r="L16" s="163" t="s">
        <v>520</v>
      </c>
    </row>
    <row r="17" spans="1:12">
      <c r="A17" s="163">
        <v>16</v>
      </c>
      <c r="B17" s="163" t="s">
        <v>153</v>
      </c>
      <c r="C17" s="163" t="s">
        <v>521</v>
      </c>
      <c r="D17" s="163" t="s">
        <v>155</v>
      </c>
      <c r="E17" s="163" t="s">
        <v>514</v>
      </c>
      <c r="H17" s="163">
        <v>15</v>
      </c>
      <c r="I17" s="163" t="s">
        <v>410</v>
      </c>
      <c r="J17" s="163" t="s">
        <v>409</v>
      </c>
      <c r="K17" s="163" t="s">
        <v>522</v>
      </c>
      <c r="L17" s="163" t="s">
        <v>523</v>
      </c>
    </row>
    <row r="18" spans="1:12">
      <c r="A18" s="163">
        <v>17</v>
      </c>
      <c r="B18" s="163" t="s">
        <v>364</v>
      </c>
      <c r="C18" s="163" t="s">
        <v>524</v>
      </c>
      <c r="D18" s="163" t="s">
        <v>154</v>
      </c>
      <c r="E18" s="163" t="s">
        <v>514</v>
      </c>
      <c r="H18" s="163">
        <v>16</v>
      </c>
      <c r="I18" s="163" t="s">
        <v>395</v>
      </c>
      <c r="J18" s="163" t="s">
        <v>396</v>
      </c>
      <c r="K18" s="163" t="s">
        <v>525</v>
      </c>
      <c r="L18" s="163" t="s">
        <v>526</v>
      </c>
    </row>
    <row r="19" spans="1:12" ht="36" customHeight="1">
      <c r="H19" s="163">
        <v>17</v>
      </c>
      <c r="I19" s="163" t="s">
        <v>404</v>
      </c>
      <c r="J19" s="163" t="s">
        <v>405</v>
      </c>
      <c r="K19" s="163" t="s">
        <v>527</v>
      </c>
      <c r="L19" s="172" t="s">
        <v>528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B37EC3-90F4-41B8-90DA-69018E02EF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4</vt:i4>
      </vt:variant>
    </vt:vector>
  </HeadingPairs>
  <TitlesOfParts>
    <vt:vector size="13" baseType="lpstr">
      <vt:lpstr>原鍵盤設計</vt:lpstr>
      <vt:lpstr>鍵盤設計</vt:lpstr>
      <vt:lpstr>注音編碼對照表</vt:lpstr>
      <vt:lpstr>RIME設定【閩拼】</vt:lpstr>
      <vt:lpstr>英文字母配置查檢工具</vt:lpstr>
      <vt:lpstr>聲調按鍵</vt:lpstr>
      <vt:lpstr>Unicode</vt:lpstr>
      <vt:lpstr>台羅轉換注音二式規則</vt:lpstr>
      <vt:lpstr>ㆦㄜ對映</vt:lpstr>
      <vt:lpstr>RIME設定【閩拼】!Criteria</vt:lpstr>
      <vt:lpstr>鍵盤設計!Criteria</vt:lpstr>
      <vt:lpstr>RIME設定【閩拼】!Extract</vt:lpstr>
      <vt:lpstr>鍵盤設計!Extract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2024-06-12T09:41:21Z</dcterms:created>
  <dcterms:modified xsi:type="dcterms:W3CDTF">2025-11-23T12:02:36Z</dcterms:modified>
</cp:coreProperties>
</file>